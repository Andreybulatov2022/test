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рт" sheetId="1" state="visible" r:id="rId1"/>
    <sheet xmlns:r="http://schemas.openxmlformats.org/officeDocument/2006/relationships" name="Расчёт" sheetId="2" state="visible" r:id="rId2"/>
    <sheet xmlns:r="http://schemas.openxmlformats.org/officeDocument/2006/relationships" name="План" sheetId="3" state="visible" r:id="rId3"/>
    <sheet xmlns:r="http://schemas.openxmlformats.org/officeDocument/2006/relationships" name="Темпы" sheetId="4" state="visible" r:id="rId4"/>
    <sheet xmlns:r="http://schemas.openxmlformats.org/officeDocument/2006/relationships" name="Дневник" sheetId="5" state="visible" r:id="rId5"/>
    <sheet xmlns:r="http://schemas.openxmlformats.org/officeDocument/2006/relationships" name="Меню" sheetId="6" state="visible" r:id="rId6"/>
    <sheet xmlns:r="http://schemas.openxmlformats.org/officeDocument/2006/relationships" name="Рецепты" sheetId="7" state="visible" r:id="rId7"/>
    <sheet xmlns:r="http://schemas.openxmlformats.org/officeDocument/2006/relationships" name="Покупки" sheetId="8" state="visible" r:id="rId8"/>
    <sheet xmlns:r="http://schemas.openxmlformats.org/officeDocument/2006/relationships" name="Экипировка" sheetId="9" state="visible" r:id="rId9"/>
    <sheet xmlns:r="http://schemas.openxmlformats.org/officeDocument/2006/relationships" name="Техника" sheetId="10" state="visible" r:id="rId10"/>
    <sheet xmlns:r="http://schemas.openxmlformats.org/officeDocument/2006/relationships" name="Разбор плана" sheetId="11" state="visible" r:id="rId11"/>
    <sheet xmlns:r="http://schemas.openxmlformats.org/officeDocument/2006/relationships" name="Продукты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0"/>
    <numFmt numFmtId="166" formatCode="yyyy-mm-dd h:mm:ss"/>
    <numFmt numFmtId="167" formatCode="dd.mm.yyyy"/>
    <numFmt numFmtId="168" formatCode="dd.mm.yy"/>
    <numFmt numFmtId="169" formatCode="m:ss"/>
  </numFmts>
  <fonts count="10">
    <font>
      <name val="Calibri"/>
      <family val="2"/>
      <color theme="1"/>
      <sz val="11"/>
      <scheme val="minor"/>
    </font>
    <font>
      <b val="1"/>
      <color rgb="00D9421C"/>
      <sz val="18"/>
    </font>
    <font>
      <i val="1"/>
      <color rgb="00586674"/>
    </font>
    <font>
      <b val="1"/>
    </font>
    <font>
      <b val="1"/>
      <color rgb="00D9421C"/>
      <sz val="13"/>
    </font>
    <font>
      <i val="1"/>
    </font>
    <font>
      <name val="Calibri"/>
      <b val="1"/>
      <color rgb="00FFFFFF"/>
      <sz val="11"/>
    </font>
    <font>
      <b val="1"/>
      <color rgb="00D9421C"/>
      <sz val="16"/>
    </font>
    <font>
      <b val="1"/>
      <color rgb="00D9421C"/>
      <sz val="12"/>
    </font>
    <font>
      <b val="1"/>
      <color rgb="00D9421C"/>
    </font>
  </fonts>
  <fills count="6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E3F1E9"/>
      </patternFill>
    </fill>
    <fill>
      <patternFill patternType="solid">
        <fgColor rgb="0014202B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D8DEE4"/>
      </left>
      <right style="thin">
        <color rgb="00D8DEE4"/>
      </right>
      <top style="thin">
        <color rgb="00D8DEE4"/>
      </top>
      <bottom style="thin">
        <color rgb="00D8DEE4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1" pivotButton="0" quotePrefix="0" xfId="0"/>
    <xf numFmtId="164" fontId="0" fillId="2" borderId="1" pivotButton="0" quotePrefix="0" xfId="0"/>
    <xf numFmtId="165" fontId="0" fillId="2" borderId="1" pivotButton="0" quotePrefix="0" xfId="0"/>
    <xf numFmtId="9" fontId="0" fillId="2" borderId="1" pivotButton="0" quotePrefix="0" xfId="0"/>
    <xf numFmtId="167" fontId="0" fillId="2" borderId="1" pivotButton="0" quotePrefix="0" xfId="0"/>
    <xf numFmtId="3" fontId="0" fillId="2" borderId="1" pivotButton="0" quotePrefix="0" xfId="0"/>
    <xf numFmtId="1" fontId="3" fillId="3" borderId="1" pivotButton="0" quotePrefix="0" xfId="0"/>
    <xf numFmtId="164" fontId="3" fillId="3" borderId="1" pivotButton="0" quotePrefix="0" xfId="0"/>
    <xf numFmtId="0" fontId="5" fillId="0" borderId="0" pivotButton="0" quotePrefix="0" xfId="0"/>
    <xf numFmtId="0" fontId="6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8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7" fillId="0" borderId="0" pivotButton="0" quotePrefix="0" xfId="0"/>
    <xf numFmtId="0" fontId="0" fillId="5" borderId="1" applyAlignment="1" pivotButton="0" quotePrefix="0" xfId="0">
      <alignment vertical="top" wrapText="1"/>
    </xf>
    <xf numFmtId="168" fontId="0" fillId="5" borderId="1" applyAlignment="1" pivotButton="0" quotePrefix="0" xfId="0">
      <alignment vertical="top" wrapText="1"/>
    </xf>
    <xf numFmtId="0" fontId="0" fillId="0" borderId="1" pivotButton="0" quotePrefix="0" xfId="0"/>
    <xf numFmtId="169" fontId="0" fillId="0" borderId="1" pivotButton="0" quotePrefix="0" xfId="0"/>
    <xf numFmtId="164" fontId="0" fillId="0" borderId="1" pivotButton="0" quotePrefix="0" xfId="0"/>
    <xf numFmtId="0" fontId="0" fillId="5" borderId="1" pivotButton="0" quotePrefix="0" xfId="0"/>
    <xf numFmtId="169" fontId="0" fillId="5" borderId="1" pivotButton="0" quotePrefix="0" xfId="0"/>
    <xf numFmtId="164" fontId="0" fillId="5" borderId="1" pivotButton="0" quotePrefix="0" xfId="0"/>
    <xf numFmtId="0" fontId="6" fillId="4" borderId="1" pivotButton="0" quotePrefix="0" xfId="0"/>
    <xf numFmtId="168" fontId="0" fillId="2" borderId="1" pivotButton="0" quotePrefix="0" xfId="0"/>
    <xf numFmtId="168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2" fontId="0" fillId="5" borderId="1" pivotButton="0" quotePrefix="0" xfId="0"/>
    <xf numFmtId="1" fontId="0" fillId="5" borderId="1" pivotButton="0" quotePrefix="0" xfId="0"/>
    <xf numFmtId="0" fontId="3" fillId="0" borderId="1" applyAlignment="1" pivotButton="0" quotePrefix="0" xfId="0">
      <alignment vertical="top" wrapText="1"/>
    </xf>
    <xf numFmtId="3" fontId="0" fillId="0" borderId="1" pivotButton="0" quotePrefix="0" xfId="0"/>
    <xf numFmtId="3" fontId="8" fillId="0" borderId="0" pivotButton="0" quotePrefix="0" xfId="0"/>
    <xf numFmtId="3" fontId="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bgColor rgb="00CDE8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 км, секунды (меньше лучше)</a:t>
            </a:r>
          </a:p>
        </rich>
      </tx>
    </title>
    <plotArea>
      <scatterChart>
        <ser>
          <idx val="0"/>
          <order val="0"/>
          <tx>
            <strRef>
              <f>'Дневник'!M4</f>
            </strRef>
          </tx>
          <spPr>
            <a:ln xmlns:a="http://schemas.openxmlformats.org/drawingml/2006/main" w="22000">
              <a:solidFill>
                <a:srgbClr val="D9421C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D9421C"/>
              </a:solidFill>
              <a:ln xmlns:a="http://schemas.openxmlformats.org/drawingml/2006/main">
                <a:solidFill>
                  <a:srgbClr val="D9421C"/>
                </a:solidFill>
                <a:prstDash val="solid"/>
              </a:ln>
            </spPr>
          </marker>
          <xVal>
            <numRef>
              <f>'Дневник'!$A$5:$A$154</f>
            </numRef>
          </xVal>
          <yVal>
            <numRef>
              <f>'Дневник'!$M$5:$M$154</f>
            </numRef>
          </yVal>
        </ser>
        <ser>
          <idx val="1"/>
          <order val="1"/>
          <tx>
            <strRef>
              <f>'Дневник'!R4</f>
            </strRef>
          </tx>
          <spPr>
            <a:ln xmlns:a="http://schemas.openxmlformats.org/drawingml/2006/main" w="19000">
              <a:solidFill>
                <a:srgbClr val="1D5DB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'Дневник'!$Q$5:$Q$21</f>
            </numRef>
          </xVal>
          <yVal>
            <numRef>
              <f>'Дневник'!$R$5:$R$21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numFmt formatCode="dd.mm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секунды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Подтягивания</a:t>
            </a:r>
          </a:p>
        </rich>
      </tx>
    </title>
    <plotArea>
      <scatterChart>
        <ser>
          <idx val="0"/>
          <order val="0"/>
          <tx>
            <strRef>
              <f>'Дневник'!F4</f>
            </strRef>
          </tx>
          <spPr>
            <a:ln xmlns:a="http://schemas.openxmlformats.org/drawingml/2006/main" w="22000">
              <a:solidFill>
                <a:srgbClr val="D9421C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D9421C"/>
              </a:solidFill>
              <a:ln xmlns:a="http://schemas.openxmlformats.org/drawingml/2006/main">
                <a:solidFill>
                  <a:srgbClr val="D9421C"/>
                </a:solidFill>
                <a:prstDash val="solid"/>
              </a:ln>
            </spPr>
          </marker>
          <xVal>
            <numRef>
              <f>'Дневник'!$A$5:$A$154</f>
            </numRef>
          </xVal>
          <yVal>
            <numRef>
              <f>'Дневник'!$F$5:$F$154</f>
            </numRef>
          </yVal>
        </ser>
        <ser>
          <idx val="1"/>
          <order val="1"/>
          <tx>
            <strRef>
              <f>'Дневник'!S4</f>
            </strRef>
          </tx>
          <spPr>
            <a:ln xmlns:a="http://schemas.openxmlformats.org/drawingml/2006/main" w="19000">
              <a:solidFill>
                <a:srgbClr val="1D5DB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'Дневник'!$Q$5:$Q$21</f>
            </numRef>
          </xVal>
          <yVal>
            <numRef>
              <f>'Дневник'!$S$5:$S$21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numFmt formatCode="dd.mm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раз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Челночный 10×10, секунды</a:t>
            </a:r>
          </a:p>
        </rich>
      </tx>
    </title>
    <plotArea>
      <scatterChart>
        <ser>
          <idx val="0"/>
          <order val="0"/>
          <tx>
            <strRef>
              <f>'Дневник'!G4</f>
            </strRef>
          </tx>
          <spPr>
            <a:ln xmlns:a="http://schemas.openxmlformats.org/drawingml/2006/main" w="22000">
              <a:solidFill>
                <a:srgbClr val="D9421C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D9421C"/>
              </a:solidFill>
              <a:ln xmlns:a="http://schemas.openxmlformats.org/drawingml/2006/main">
                <a:solidFill>
                  <a:srgbClr val="D9421C"/>
                </a:solidFill>
                <a:prstDash val="solid"/>
              </a:ln>
            </spPr>
          </marker>
          <xVal>
            <numRef>
              <f>'Дневник'!$A$5:$A$154</f>
            </numRef>
          </xVal>
          <yVal>
            <numRef>
              <f>'Дневник'!$G$5:$G$154</f>
            </numRef>
          </yVal>
        </ser>
        <ser>
          <idx val="1"/>
          <order val="1"/>
          <tx>
            <strRef>
              <f>'Дневник'!T4</f>
            </strRef>
          </tx>
          <spPr>
            <a:ln xmlns:a="http://schemas.openxmlformats.org/drawingml/2006/main" w="19000">
              <a:solidFill>
                <a:srgbClr val="1D5DB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'Дневник'!$Q$5:$Q$21</f>
            </numRef>
          </xVal>
          <yVal>
            <numRef>
              <f>'Дневник'!$T$5:$T$21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numFmt formatCode="dd.mm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секунды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Вес, кг</a:t>
            </a:r>
          </a:p>
        </rich>
      </tx>
    </title>
    <plotArea>
      <scatterChart>
        <ser>
          <idx val="0"/>
          <order val="0"/>
          <tx>
            <strRef>
              <f>'Дневник'!B4</f>
            </strRef>
          </tx>
          <spPr>
            <a:ln xmlns:a="http://schemas.openxmlformats.org/drawingml/2006/main" w="22000">
              <a:solidFill>
                <a:srgbClr val="D9421C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D9421C"/>
              </a:solidFill>
              <a:ln xmlns:a="http://schemas.openxmlformats.org/drawingml/2006/main">
                <a:solidFill>
                  <a:srgbClr val="D9421C"/>
                </a:solidFill>
                <a:prstDash val="solid"/>
              </a:ln>
            </spPr>
          </marker>
          <xVal>
            <numRef>
              <f>'Дневник'!$A$5:$A$154</f>
            </numRef>
          </xVal>
          <yVal>
            <numRef>
              <f>'Дневник'!$B$5:$B$154</f>
            </numRef>
          </yVal>
        </ser>
        <ser>
          <idx val="1"/>
          <order val="1"/>
          <tx>
            <strRef>
              <f>'Дневник'!U4</f>
            </strRef>
          </tx>
          <spPr>
            <a:ln xmlns:a="http://schemas.openxmlformats.org/drawingml/2006/main" w="19000">
              <a:solidFill>
                <a:srgbClr val="1D5DB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'Дневник'!$Q$5:$Q$21</f>
            </numRef>
          </xVal>
          <yVal>
            <numRef>
              <f>'Дневник'!$U$5:$U$21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numFmt formatCode="dd.mm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Талия, см</a:t>
            </a:r>
          </a:p>
        </rich>
      </tx>
    </title>
    <plotArea>
      <scatterChart>
        <ser>
          <idx val="0"/>
          <order val="0"/>
          <tx>
            <strRef>
              <f>'Дневник'!C4</f>
            </strRef>
          </tx>
          <spPr>
            <a:ln xmlns:a="http://schemas.openxmlformats.org/drawingml/2006/main">
              <a:solidFill>
                <a:srgbClr val="D9421C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'Дневник'!$A$5:$A$154</f>
            </numRef>
          </xVal>
          <yVal>
            <numRef>
              <f>'Дневник'!$C$5:$C$154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numFmt formatCode="dd.mm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Ккал по дням и норма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'Меню'!O5</f>
            </strRef>
          </tx>
          <spPr>
            <a:ln xmlns:a="http://schemas.openxmlformats.org/drawingml/2006/main">
              <a:prstDash val="solid"/>
            </a:ln>
          </spPr>
          <cat>
            <numRef>
              <f>'Меню'!$N$6:$N$12</f>
            </numRef>
          </cat>
          <val>
            <numRef>
              <f>'Меню'!$O$6:$O$12</f>
            </numRef>
          </val>
        </ser>
        <ser>
          <idx val="1"/>
          <order val="1"/>
          <tx>
            <strRef>
              <f>'Меню'!S5</f>
            </strRef>
          </tx>
          <spPr>
            <a:ln xmlns:a="http://schemas.openxmlformats.org/drawingml/2006/main">
              <a:prstDash val="solid"/>
            </a:ln>
          </spPr>
          <cat>
            <numRef>
              <f>'Меню'!$N$6:$N$12</f>
            </numRef>
          </cat>
          <val>
            <numRef>
              <f>'Меню'!$S$6:$S$12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24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24</col>
      <colOff>0</colOff>
      <row>24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15</col>
      <colOff>0</colOff>
      <row>40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24</col>
      <colOff>0</colOff>
      <row>40</row>
      <rowOff>0</rowOff>
    </from>
    <ext cx="576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15</col>
      <colOff>0</colOff>
      <row>56</row>
      <rowOff>0</rowOff>
    </from>
    <ext cx="576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14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D9421C"/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Курс на зачёт</t>
        </is>
      </c>
    </row>
    <row r="2">
      <c r="A2" s="2" t="inlineStr">
        <is>
          <t>Бег 1 км, челночный 10×10 м, подтягивания. Параллельно уходит живот и растут мышцы.</t>
        </is>
      </c>
    </row>
    <row r="4">
      <c r="A4" s="3" t="inlineStr">
        <is>
          <t>Как пользоваться</t>
        </is>
      </c>
      <c r="B4" s="4" t="inlineStr"/>
    </row>
    <row r="5">
      <c r="A5" s="5" t="inlineStr">
        <is>
          <t>1. Лист «Расчёт»</t>
        </is>
      </c>
      <c r="B5" s="4" t="inlineStr">
        <is>
          <t>Впиши свой точный вес, талию и шею в жёлтые ячейки. Калории, белок и ориентир по жиру в теле пересчитаются сами.</t>
        </is>
      </c>
    </row>
    <row r="6">
      <c r="A6" s="5" t="inlineStr">
        <is>
          <t>2. Лист «План»</t>
        </is>
      </c>
      <c r="B6" s="4" t="inlineStr">
        <is>
          <t>16 недель по дням. Первые 2 недели можно ежедневно, дальше 2 сессии в неделю. Отмечай «✔» в столбце «Сделано». Каждая 4-я неделя контрольная.</t>
        </is>
      </c>
    </row>
    <row r="7">
      <c r="A7" s="5" t="inlineStr">
        <is>
          <t>3. Лист «Темпы»</t>
        </is>
      </c>
      <c r="B7" s="4" t="inlineStr">
        <is>
          <t>Целевые времена отрезков для интервалов (200–800 м) по неделям.</t>
        </is>
      </c>
    </row>
    <row r="8">
      <c r="A8" s="5" t="inlineStr">
        <is>
          <t>4. Лист «Дневник»</t>
        </is>
      </c>
      <c r="B8" s="4" t="inlineStr">
        <is>
          <t>Заноси результаты и самочувствие. Справа внизу графики с плановой траекторией.</t>
        </is>
      </c>
    </row>
    <row r="9">
      <c r="A9" s="5" t="inlineStr">
        <is>
          <t>5. Листы «Меню», «Рецепты», «Покупки»</t>
        </is>
      </c>
      <c r="B9" s="4" t="inlineStr">
        <is>
          <t>Меню на неделю с граммами на тебя и на жену. Граммы сами подгоняются под твою норму калорий. Список покупок считается из меню.</t>
        </is>
      </c>
    </row>
    <row r="10">
      <c r="A10" s="5" t="inlineStr">
        <is>
          <t>6. Лист «Экипировка»</t>
        </is>
      </c>
      <c r="B10" s="4" t="inlineStr">
        <is>
          <t>Что купить, как выбирать и бюджет.</t>
        </is>
      </c>
    </row>
    <row r="11">
      <c r="A11" s="5" t="inlineStr">
        <is>
          <t>7. Лист «Техника»</t>
        </is>
      </c>
      <c r="B11" s="4" t="inlineStr">
        <is>
          <t>Как делать упражнения правильно и какие ошибки типичны.</t>
        </is>
      </c>
    </row>
    <row r="12">
      <c r="A12" s="5" t="inlineStr">
        <is>
          <t>8. Лист «Разбор плана»</t>
        </is>
      </c>
      <c r="B12" s="4" t="inlineStr">
        <is>
          <t>Что было не так в исходной таблице и что изменено.</t>
        </is>
      </c>
    </row>
    <row r="13">
      <c r="A13" s="5" t="inlineStr"/>
      <c r="B13" s="4" t="inlineStr"/>
    </row>
    <row r="14">
      <c r="A14" s="3" t="inlineStr">
        <is>
          <t>Цели из твоей таблицы</t>
        </is>
      </c>
      <c r="B14" s="4" t="inlineStr">
        <is>
          <t>1 км — 4:30 (сейчас 5:10), подтягивания — 15 (сейчас 3), 10×10 м — 25 с (сейчас 28).</t>
        </is>
      </c>
    </row>
    <row r="15">
      <c r="A15" s="5" t="inlineStr">
        <is>
          <t>Реалистичный прогноз</t>
        </is>
      </c>
      <c r="B15" s="4" t="inlineStr">
        <is>
          <t>За 12 недель: 1 км около 4:39, челночный около 26,2 с, подтягиваний 9–10. К 16-й неделе: 4:30 и 25,6 с. До 15 подтягиваний при весе 90 кг нужно 5–6 месяцев вместе с похудением.</t>
        </is>
      </c>
    </row>
    <row r="16">
      <c r="A16" s="5" t="inlineStr">
        <is>
          <t>Важно про колени</t>
        </is>
      </c>
      <c r="B16" s="4" t="inlineStr">
        <is>
          <t>Хруст без боли допустим. Глубокие приседания («лягушка») и прыжки отложены. Боль, отёк, блокировка сустава означают стоп и визит к врачу. Перед стартом проверь давление и сердце у терапевта.</t>
        </is>
      </c>
    </row>
    <row r="17">
      <c r="A17" s="5" t="inlineStr">
        <is>
          <t>Жёлтые ячейки</t>
        </is>
      </c>
      <c r="B17" s="4" t="inlineStr">
        <is>
          <t>Ячейки с жёлтым фоном — твои данные. Остальное считается формулами.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5DB0"/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60" customWidth="1" min="3" max="3"/>
  </cols>
  <sheetData>
    <row r="1">
      <c r="A1" s="1" t="inlineStr">
        <is>
          <t>Расчёт калорий и белка</t>
        </is>
      </c>
    </row>
    <row r="2">
      <c r="A2" s="2" t="inlineStr">
        <is>
          <t>Жёлтые ячейки можно менять</t>
        </is>
      </c>
    </row>
    <row r="3">
      <c r="A3" t="inlineStr">
        <is>
          <t>Возраст, лет</t>
        </is>
      </c>
      <c r="B3" s="6" t="n">
        <v>40</v>
      </c>
      <c r="C3" s="2" t="inlineStr"/>
    </row>
    <row r="4">
      <c r="A4" t="inlineStr">
        <is>
          <t>Рост, см</t>
        </is>
      </c>
      <c r="B4" s="6" t="n">
        <v>176</v>
      </c>
      <c r="C4" s="2" t="inlineStr"/>
    </row>
    <row r="5">
      <c r="A5" t="inlineStr">
        <is>
          <t>Вес, кг</t>
        </is>
      </c>
      <c r="B5" s="7" t="n">
        <v>90</v>
      </c>
      <c r="C5" s="2" t="inlineStr">
        <is>
          <t>Взвесься утром натощак. 90 кг — примерная цифра.</t>
        </is>
      </c>
    </row>
    <row r="6">
      <c r="A6" t="inlineStr">
        <is>
          <t>Талия, см (на уровне пупка)</t>
        </is>
      </c>
      <c r="B6" s="7" t="n">
        <v>100</v>
      </c>
      <c r="C6" s="2" t="inlineStr">
        <is>
          <t>Измерь стоя, на выдохе. 100 — примерная цифра.</t>
        </is>
      </c>
    </row>
    <row r="7">
      <c r="A7" t="inlineStr">
        <is>
          <t>Шея, см</t>
        </is>
      </c>
      <c r="B7" s="7" t="n">
        <v>39</v>
      </c>
      <c r="C7" s="2" t="inlineStr"/>
    </row>
    <row r="8">
      <c r="A8" t="inlineStr">
        <is>
          <t>Коэффициент активности</t>
        </is>
      </c>
      <c r="B8" s="8" t="n">
        <v>1.45</v>
      </c>
      <c r="C8" s="2" t="inlineStr">
        <is>
          <t>1,375 мало; 1,45 две тренировки и ходьба; 1,55 почти ежедневно</t>
        </is>
      </c>
    </row>
    <row r="9">
      <c r="A9" t="inlineStr">
        <is>
          <t>Дефицит калорий, доля</t>
        </is>
      </c>
      <c r="B9" s="9" t="n">
        <v>0.2</v>
      </c>
      <c r="C9" s="2" t="inlineStr">
        <is>
          <t>0,15–0,25. 20% даёт около −0,5 кг в неделю</t>
        </is>
      </c>
    </row>
    <row r="10">
      <c r="A10" t="inlineStr">
        <is>
          <t>Порция жены от твоей, доля</t>
        </is>
      </c>
      <c r="B10" s="9" t="n">
        <v>0.8</v>
      </c>
      <c r="C10" s="2" t="inlineStr">
        <is>
          <t>Для списка покупок и граммовок</t>
        </is>
      </c>
    </row>
    <row r="11">
      <c r="A11" t="inlineStr">
        <is>
          <t>Дата старта</t>
        </is>
      </c>
      <c r="B11" s="10" t="n">
        <v>46303</v>
      </c>
      <c r="C11" s="2" t="inlineStr">
        <is>
          <t>Если начнёшь в другой день, поменяй</t>
        </is>
      </c>
    </row>
    <row r="12">
      <c r="A12" t="inlineStr">
        <is>
          <t>Бюджет на экипировку, ₽ (разово)</t>
        </is>
      </c>
      <c r="B12" s="11" t="n">
        <v>20000</v>
      </c>
      <c r="C12" s="2" t="inlineStr"/>
    </row>
    <row r="13">
      <c r="A13" t="inlineStr">
        <is>
          <t>Бюджет на еду, ₽ (в месяц, на двоих)</t>
        </is>
      </c>
      <c r="B13" s="11" t="n">
        <v>20000</v>
      </c>
      <c r="C13" s="2" t="inlineStr">
        <is>
          <t>Поправь под себя</t>
        </is>
      </c>
    </row>
    <row r="14">
      <c r="A14" s="3" t="inlineStr">
        <is>
          <t>Результаты</t>
        </is>
      </c>
    </row>
    <row r="15">
      <c r="A15" t="inlineStr">
        <is>
          <t>Обмен покоя, ккал</t>
        </is>
      </c>
      <c r="B15" s="12">
        <f>10*B5+6.25*B4-5*B3+5</f>
        <v/>
      </c>
      <c r="C15" s="2" t="inlineStr">
        <is>
          <t>Формула Миффлина–Сан Жеора</t>
        </is>
      </c>
    </row>
    <row r="16">
      <c r="A16" t="inlineStr">
        <is>
          <t>Расход с тренировками, ккал</t>
        </is>
      </c>
      <c r="B16" s="12">
        <f>B15*B8</f>
        <v/>
      </c>
      <c r="C16" s="2" t="inlineStr"/>
    </row>
    <row r="17">
      <c r="A17" t="inlineStr">
        <is>
          <t>Норма на день, ккал</t>
        </is>
      </c>
      <c r="B17" s="12">
        <f>ROUND(B16*(1-B9),-1)</f>
        <v/>
      </c>
      <c r="C17" s="2" t="inlineStr">
        <is>
          <t>Калорийность меню подгоняется под неё</t>
        </is>
      </c>
    </row>
    <row r="18">
      <c r="A18" t="inlineStr">
        <is>
          <t>Белок, г</t>
        </is>
      </c>
      <c r="B18" s="12">
        <f>ROUND(B5*1.7,0)</f>
        <v/>
      </c>
      <c r="C18" s="2" t="inlineStr">
        <is>
          <t>1,7 г на кг: хватает и для мышц, и для сытости</t>
        </is>
      </c>
    </row>
    <row r="19">
      <c r="A19" t="inlineStr">
        <is>
          <t>Жиры, г</t>
        </is>
      </c>
      <c r="B19" s="12">
        <f>ROUND(B5*0.8,0)</f>
        <v/>
      </c>
      <c r="C19" s="2" t="inlineStr"/>
    </row>
    <row r="20">
      <c r="A20" t="inlineStr">
        <is>
          <t>Углеводы, г</t>
        </is>
      </c>
      <c r="B20" s="12">
        <f>ROUND((B17-B18*4-B19*9)/4,0)</f>
        <v/>
      </c>
      <c r="C20" s="2" t="inlineStr">
        <is>
          <t>Остаток калорий</t>
        </is>
      </c>
    </row>
    <row r="21">
      <c r="A21" t="inlineStr">
        <is>
          <t>Индекс массы тела</t>
        </is>
      </c>
      <c r="B21" s="13">
        <f>B5/(B4/100)^2</f>
        <v/>
      </c>
      <c r="C21" s="2" t="inlineStr"/>
    </row>
    <row r="22">
      <c r="A22" t="inlineStr">
        <is>
          <t>Жир в теле, % (оценка по талии и шее)</t>
        </is>
      </c>
      <c r="B22" s="13">
        <f>495/(1.0324-0.19077*LOG10(B6-B7)+0.15456*LOG10(B4))-450</f>
        <v/>
      </c>
      <c r="C22" s="2" t="inlineStr">
        <is>
          <t>Метод ВМС США. Точность ±3–4 п.п.</t>
        </is>
      </c>
    </row>
    <row r="23">
      <c r="A23" t="inlineStr">
        <is>
          <t>Безжировая масса, кг</t>
        </is>
      </c>
      <c r="B23" s="13">
        <f>B5*(1-B22/100)</f>
        <v/>
      </c>
      <c r="C23" s="2" t="inlineStr"/>
    </row>
    <row r="24">
      <c r="A24" t="inlineStr">
        <is>
          <t>Вес при жире 20%, кг</t>
        </is>
      </c>
      <c r="B24" s="13">
        <f>B23/(1-0.2)</f>
        <v/>
      </c>
      <c r="C24" s="2" t="inlineStr"/>
    </row>
    <row r="25">
      <c r="A25" t="inlineStr">
        <is>
          <t>Вес при жире 15%, кг</t>
        </is>
      </c>
      <c r="B25" s="13">
        <f>B23/(1-0.15)</f>
        <v/>
      </c>
      <c r="C25" s="2" t="inlineStr">
        <is>
          <t>Первая цель: живот почти исчезает</t>
        </is>
      </c>
    </row>
    <row r="26">
      <c r="A26" t="inlineStr">
        <is>
          <t>Вес при жире 12%, кг</t>
        </is>
      </c>
      <c r="B26" s="13">
        <f>B23/(1-0.12)</f>
        <v/>
      </c>
      <c r="C26" s="2" t="inlineStr">
        <is>
          <t>Кубики видны при 12–14%</t>
        </is>
      </c>
    </row>
    <row r="27">
      <c r="A27" t="inlineStr">
        <is>
          <t>Недель до 15% при −0,5 кг/нед</t>
        </is>
      </c>
      <c r="B27" s="12">
        <f>MAX(0,ROUND((B5-B25)/0.5,0))</f>
        <v/>
      </c>
      <c r="C27" s="2" t="inlineStr"/>
    </row>
    <row r="29">
      <c r="A29" s="14" t="inlineStr">
        <is>
          <t>Если ты похудеешь на 5–7 кг за 12 недель, пересчитай всё снова с новым весом.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421C"/>
    <outlinePr summaryBelow="1" summaryRight="1"/>
    <pageSetUpPr/>
  </sheetPr>
  <dimension ref="A1:K1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20" customWidth="1" min="4" max="4"/>
    <col width="12" customWidth="1" min="5" max="5"/>
    <col width="40" customWidth="1" min="6" max="6"/>
    <col width="80" customWidth="1" min="7" max="7"/>
    <col width="11" customWidth="1" min="8" max="8"/>
    <col width="30" customWidth="1" min="9" max="9"/>
  </cols>
  <sheetData>
    <row r="1">
      <c r="A1" s="1" t="inlineStr">
        <is>
          <t>План на 16 недель</t>
        </is>
      </c>
    </row>
    <row r="2">
      <c r="A2" s="2" t="inlineStr">
        <is>
          <t>Недели 1–2 можно ежедневно. Недели 3–16: сессия А, сессия Б и пятиминутка каждый день. Недели 4, 8, 12, 16 контрольные.</t>
        </is>
      </c>
    </row>
    <row r="4">
      <c r="A4" s="15" t="inlineStr">
        <is>
          <t>Нед.</t>
        </is>
      </c>
      <c r="B4" s="15" t="inlineStr">
        <is>
          <t>Дата</t>
        </is>
      </c>
      <c r="C4" s="15" t="inlineStr">
        <is>
          <t>День</t>
        </is>
      </c>
      <c r="D4" s="15" t="inlineStr">
        <is>
          <t>Фаза</t>
        </is>
      </c>
      <c r="E4" s="15" t="inlineStr">
        <is>
          <t>Тип</t>
        </is>
      </c>
      <c r="F4" s="15" t="inlineStr">
        <is>
          <t>Тренировка</t>
        </is>
      </c>
      <c r="G4" s="15" t="inlineStr">
        <is>
          <t>Подробности</t>
        </is>
      </c>
      <c r="H4" s="15" t="inlineStr">
        <is>
          <t>Сделано</t>
        </is>
      </c>
      <c r="I4" s="15" t="inlineStr">
        <is>
          <t>Заметки</t>
        </is>
      </c>
      <c r="K4" s="5" t="inlineStr">
        <is>
          <t>Выполнено сессий</t>
        </is>
      </c>
    </row>
    <row r="5" ht="180" customHeight="1">
      <c r="A5" s="16" t="n">
        <v>1</v>
      </c>
      <c r="B5" s="17">
        <f>'Расчёт'!$B$11+0</f>
        <v/>
      </c>
      <c r="C5" s="16">
        <f>TEXT(B5,"ddd")</f>
        <v/>
      </c>
      <c r="D5" s="16" t="inlineStr">
        <is>
          <t>Старт (ежедневно)</t>
        </is>
      </c>
      <c r="E5" s="16" t="inlineStr">
        <is>
          <t>бег</t>
        </is>
      </c>
      <c r="F5" s="16" t="inlineStr">
        <is>
          <t>Бег-ходьба + подтягивания в течение дня</t>
        </is>
      </c>
      <c r="G5" s="16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ОСНОВНОЕ
• Бег и ходьба 20 мин: 2 мин бег / 2 мин ходьба по кругу
• Подтягивания: 5×2, в разное время дня, не до отказа
ЗАМИНКА 5–8 МИН
• Ходьба 3–5 минут, пока пульс не успокоится
• Растяжка по 30 секунд: икры, бёдра, ягодицы, грудь</t>
        </is>
      </c>
      <c r="H5" s="18" t="n"/>
      <c r="I5" s="16" t="n"/>
      <c r="K5" s="19">
        <f>COUNTIFS(H5:H116,"✔",E5:E116,"&lt;&gt;отдых",E5:E116,"&lt;&gt;по желанию")</f>
        <v/>
      </c>
    </row>
    <row r="6" ht="285" customHeight="1">
      <c r="A6" s="16" t="n">
        <v>1</v>
      </c>
      <c r="B6" s="17">
        <f>'Расчёт'!$B$11+1</f>
        <v/>
      </c>
      <c r="C6" s="16">
        <f>TEXT(B6,"ddd")</f>
        <v/>
      </c>
      <c r="D6" s="16" t="inlineStr">
        <is>
          <t>Старт (ежедневно)</t>
        </is>
      </c>
      <c r="E6" s="16" t="inlineStr">
        <is>
          <t>сила</t>
        </is>
      </c>
      <c r="F6" s="16" t="inlineStr">
        <is>
          <t>Сила: верх тела и кор</t>
        </is>
      </c>
      <c r="G6" s="16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ПОДТЯГИВАНИЯ
• 4×2 строгих повторов, отдых 2 минуты (не до отказа)
• Негативные: 3×4 с опусканием 4–5 секунд (если максимум 8+, делай подтягивания с паузой 2 с вверху)
• Австралийские подтягивания: 3×8–12
ОТЖИМАНИЯ
• 3 подхода по (максимум − 2), руки на скамье если меньше 8
КОР (КУБИКИ)
• Планка 3×35 с
• Подъём коленей/ног в висе 3×6–10
• Мёртвый жук 3×8 на сторону
ЗАМИНКА 5–8 МИН
• Ходьба 3–5 минут, пока пульс не успокоится
• Растяжка по 30 секунд: икры, бёдра, ягодицы, грудь</t>
        </is>
      </c>
      <c r="H6" s="18" t="n"/>
      <c r="I6" s="16" t="n"/>
    </row>
    <row r="7" ht="75" customHeight="1">
      <c r="A7" s="16" t="n">
        <v>1</v>
      </c>
      <c r="B7" s="17">
        <f>'Расчёт'!$B$11+2</f>
        <v/>
      </c>
      <c r="C7" s="16">
        <f>TEXT(B7,"ddd")</f>
        <v/>
      </c>
      <c r="D7" s="16" t="inlineStr">
        <is>
          <t>Старт (ежедневно)</t>
        </is>
      </c>
      <c r="E7" s="16" t="inlineStr">
        <is>
          <t>отдых</t>
        </is>
      </c>
      <c r="F7" s="16" t="inlineStr">
        <is>
          <t>Активное восстановление</t>
        </is>
      </c>
      <c r="G7" s="16" t="inlineStr">
        <is>
          <t>ЧТО ДЕЛАТЬ
• Быстрая ходьба 40 минут
• Мобильность таза и голеностопа 10 минут
• Лёгкая растяжка</t>
        </is>
      </c>
      <c r="H7" s="18" t="n"/>
      <c r="I7" s="16" t="n"/>
    </row>
    <row r="8" ht="285" customHeight="1">
      <c r="A8" s="16" t="n">
        <v>1</v>
      </c>
      <c r="B8" s="17">
        <f>'Расчёт'!$B$11+3</f>
        <v/>
      </c>
      <c r="C8" s="16">
        <f>TEXT(B8,"ddd")</f>
        <v/>
      </c>
      <c r="D8" s="16" t="inlineStr">
        <is>
          <t>Старт (ежедневно)</t>
        </is>
      </c>
      <c r="E8" s="16" t="inlineStr">
        <is>
          <t>челнок</t>
        </is>
      </c>
      <c r="F8" s="16" t="inlineStr">
        <is>
          <t>Челночный (техника) + ноги без прыжков</t>
        </is>
      </c>
      <c r="G8" s="16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ЧЕЛНОЧНЫЙ БЕГ
• Техника разворота на 5 м: 6 раз в 70% скорости
• 3×10×10 м на 80–85% скорости, цель недели 27.9 с
• Отдых между попытками 3 минуты, ходьба
НОГИ И ЯГОДИЦЫ (КОЛЕНИ БЕРЕГУ)
• Присед до скамьи 3×10, с w≥5 с рюкзаком
• Подъём на скамью 3×8 на ногу
• Румынская тяга с рюкзаком 3×10–12
• Ягодичный мостик 3×15
• Подъём на носки 3×15–20
ЗАМИНКА 5–8 МИН
• Ходьба 3–5 минут, пока пульс не успокоится
• Растяжка по 30 секунд: икры, бёдра, ягодицы, грудь</t>
        </is>
      </c>
      <c r="H8" s="18" t="n"/>
      <c r="I8" s="16" t="n"/>
    </row>
    <row r="9" ht="255" customHeight="1">
      <c r="A9" s="16" t="n">
        <v>1</v>
      </c>
      <c r="B9" s="17">
        <f>'Расчёт'!$B$11+4</f>
        <v/>
      </c>
      <c r="C9" s="16">
        <f>TEXT(B9,"ddd")</f>
        <v/>
      </c>
      <c r="D9" s="16" t="inlineStr">
        <is>
          <t>Старт (ежедневно)</t>
        </is>
      </c>
      <c r="E9" s="16" t="inlineStr">
        <is>
          <t>бег</t>
        </is>
      </c>
      <c r="F9" s="16" t="inlineStr">
        <is>
          <t>Интервалы + подтягивания</t>
        </is>
      </c>
      <c r="G9" s="16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ИНТЕРВАЛЫ: 5×200 М
• Каждый отрезок за 0:58 (примерно)
• Отдых между отрезками: 2 мин, ходьба
• Цель недели по темпу 1 км: 5:08
• Если не получается держать время, уменьши число повторов, а не темп
ПОДТЯГИВАНИЯ (БЫСТРО)
• Лестница: 1-2-1-2-1-2 с отдыхом 90 секунд
• Негативные 2×3
ЗАМИНКА 5–8 МИН
• Ходьба 3–5 минут, пока пульс не успокоится
• Растяжка по 30 секунд: икры, бёдра, ягодицы, грудь</t>
        </is>
      </c>
      <c r="H9" s="18" t="n"/>
      <c r="I9" s="16" t="n"/>
    </row>
    <row r="10" ht="315" customHeight="1">
      <c r="A10" s="16" t="n">
        <v>1</v>
      </c>
      <c r="B10" s="17">
        <f>'Расчёт'!$B$11+5</f>
        <v/>
      </c>
      <c r="C10" s="16">
        <f>TEXT(B10,"ddd")</f>
        <v/>
      </c>
      <c r="D10" s="16" t="inlineStr">
        <is>
          <t>Старт (ежедневно)</t>
        </is>
      </c>
      <c r="E10" s="16" t="inlineStr">
        <is>
          <t>сила</t>
        </is>
      </c>
      <c r="F10" s="16" t="inlineStr">
        <is>
          <t>Сила: ноги, спина, кор</t>
        </is>
      </c>
      <c r="G10" s="16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НОГИ И ЯГОДИЦЫ (КОЛЕНИ БЕРЕГУ)
• Присед до скамьи 3×10, с w≥5 с рюкзаком
• Подъём на скамью 3×8 на ногу
• Румынская тяга с рюкзаком 3×10–12
• Ягодичный мостик 3×15
• Подъём на носки 3×15–20
АВСТРАЛИЙСКИЕ ПОДТЯГИВАНИЯ
• 3×8–12
КОР (КУБИКИ)
• Планка 3×35 с
• Подъём коленей/ног в висе 3×6–10
• Мёртвый жук 3×8 на сторону
ЗАМИНКА 5–8 МИН
• Ходьба 3–5 минут, пока пульс не успокоится
• Растяжка по 30 секунд: икры, бёдра, ягодицы, грудь</t>
        </is>
      </c>
      <c r="H10" s="18" t="n"/>
      <c r="I10" s="16" t="n"/>
    </row>
    <row r="11" ht="60" customHeight="1">
      <c r="A11" s="16" t="n">
        <v>1</v>
      </c>
      <c r="B11" s="17">
        <f>'Расчёт'!$B$11+6</f>
        <v/>
      </c>
      <c r="C11" s="16">
        <f>TEXT(B11,"ddd")</f>
        <v/>
      </c>
      <c r="D11" s="16" t="inlineStr">
        <is>
          <t>Старт (ежедневно)</t>
        </is>
      </c>
      <c r="E11" s="16" t="inlineStr">
        <is>
          <t>отдых</t>
        </is>
      </c>
      <c r="F11" s="16" t="inlineStr">
        <is>
          <t>Отдых</t>
        </is>
      </c>
      <c r="G11" s="16" t="inlineStr">
        <is>
          <t>ЧТО ДЕЛАТЬ
• Прогулка 30–40 минут
• Подготовь еду на следующую неделю</t>
        </is>
      </c>
      <c r="H11" s="18" t="n"/>
      <c r="I11" s="16" t="n"/>
    </row>
    <row r="12" ht="180" customHeight="1">
      <c r="A12" s="20" t="n">
        <v>2</v>
      </c>
      <c r="B12" s="21">
        <f>'Расчёт'!$B$11+7</f>
        <v/>
      </c>
      <c r="C12" s="20">
        <f>TEXT(B12,"ddd")</f>
        <v/>
      </c>
      <c r="D12" s="20" t="inlineStr">
        <is>
          <t>Старт (ежедневно)</t>
        </is>
      </c>
      <c r="E12" s="20" t="inlineStr">
        <is>
          <t>бег</t>
        </is>
      </c>
      <c r="F12" s="20" t="inlineStr">
        <is>
          <t>Бег-ходьба + подтягивания в течение дня</t>
        </is>
      </c>
      <c r="G12" s="20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ОСНОВНОЕ
• Бег и ходьба 25 мин: 2 мин бег / 2 мин ходьба по кругу
• Подтягивания: 5×2, в разное время дня, не до отказа
ЗАМИНКА 5–8 МИН
• Ходьба 3–5 минут, пока пульс не успокоится
• Растяжка по 30 секунд: икры, бёдра, ягодицы, грудь</t>
        </is>
      </c>
      <c r="H12" s="18" t="n"/>
      <c r="I12" s="16" t="n"/>
    </row>
    <row r="13" ht="285" customHeight="1">
      <c r="A13" s="20" t="n">
        <v>2</v>
      </c>
      <c r="B13" s="21">
        <f>'Расчёт'!$B$11+8</f>
        <v/>
      </c>
      <c r="C13" s="20">
        <f>TEXT(B13,"ddd")</f>
        <v/>
      </c>
      <c r="D13" s="20" t="inlineStr">
        <is>
          <t>Старт (ежедневно)</t>
        </is>
      </c>
      <c r="E13" s="20" t="inlineStr">
        <is>
          <t>сила</t>
        </is>
      </c>
      <c r="F13" s="20" t="inlineStr">
        <is>
          <t>Сила: верх тела и кор</t>
        </is>
      </c>
      <c r="G13" s="20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ПОДТЯГИВАНИЯ
• 5×2 строгих повторов, отдых 2 минуты (не до отказа)
• Негативные: 3×4 с опусканием 4–5 секунд (если максимум 8+, делай подтягивания с паузой 2 с вверху)
• Австралийские подтягивания: 3×8–12
ОТЖИМАНИЯ
• 3 подхода по (максимум − 2), руки на скамье если меньше 8
КОР (КУБИКИ)
• Планка 3×40 с
• Подъём коленей/ног в висе 3×6–10
• Мёртвый жук 3×8 на сторону
ЗАМИНКА 5–8 МИН
• Ходьба 3–5 минут, пока пульс не успокоится
• Растяжка по 30 секунд: икры, бёдра, ягодицы, грудь</t>
        </is>
      </c>
      <c r="H13" s="18" t="n"/>
      <c r="I13" s="16" t="n"/>
    </row>
    <row r="14" ht="75" customHeight="1">
      <c r="A14" s="20" t="n">
        <v>2</v>
      </c>
      <c r="B14" s="21">
        <f>'Расчёт'!$B$11+9</f>
        <v/>
      </c>
      <c r="C14" s="20">
        <f>TEXT(B14,"ddd")</f>
        <v/>
      </c>
      <c r="D14" s="20" t="inlineStr">
        <is>
          <t>Старт (ежедневно)</t>
        </is>
      </c>
      <c r="E14" s="20" t="inlineStr">
        <is>
          <t>отдых</t>
        </is>
      </c>
      <c r="F14" s="20" t="inlineStr">
        <is>
          <t>Активное восстановление</t>
        </is>
      </c>
      <c r="G14" s="20" t="inlineStr">
        <is>
          <t>ЧТО ДЕЛАТЬ
• Быстрая ходьба 40 минут
• Мобильность таза и голеностопа 10 минут
• Лёгкая растяжка</t>
        </is>
      </c>
      <c r="H14" s="18" t="n"/>
      <c r="I14" s="16" t="n"/>
    </row>
    <row r="15" ht="285" customHeight="1">
      <c r="A15" s="20" t="n">
        <v>2</v>
      </c>
      <c r="B15" s="21">
        <f>'Расчёт'!$B$11+10</f>
        <v/>
      </c>
      <c r="C15" s="20">
        <f>TEXT(B15,"ddd")</f>
        <v/>
      </c>
      <c r="D15" s="20" t="inlineStr">
        <is>
          <t>Старт (ежедневно)</t>
        </is>
      </c>
      <c r="E15" s="20" t="inlineStr">
        <is>
          <t>челнок</t>
        </is>
      </c>
      <c r="F15" s="20" t="inlineStr">
        <is>
          <t>Челночный (техника) + ноги без прыжков</t>
        </is>
      </c>
      <c r="G15" s="20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ЧЕЛНОЧНЫЙ БЕГ
• Техника разворота на 5 м: 6 раз в 70% скорости
• 4×10×10 м на 80–85% скорости, цель недели 27.8 с
• Отдых между попытками 3 минуты, ходьба
НОГИ И ЯГОДИЦЫ (КОЛЕНИ БЕРЕГУ)
• Присед до скамьи 3×10, с w≥5 с рюкзаком
• Подъём на скамью 3×8 на ногу
• Румынская тяга с рюкзаком 3×10–12
• Ягодичный мостик 3×15
• Подъём на носки 3×15–20
ЗАМИНКА 5–8 МИН
• Ходьба 3–5 минут, пока пульс не успокоится
• Растяжка по 30 секунд: икры, бёдра, ягодицы, грудь</t>
        </is>
      </c>
      <c r="H15" s="18" t="n"/>
      <c r="I15" s="16" t="n"/>
    </row>
    <row r="16" ht="255" customHeight="1">
      <c r="A16" s="20" t="n">
        <v>2</v>
      </c>
      <c r="B16" s="21">
        <f>'Расчёт'!$B$11+11</f>
        <v/>
      </c>
      <c r="C16" s="20">
        <f>TEXT(B16,"ddd")</f>
        <v/>
      </c>
      <c r="D16" s="20" t="inlineStr">
        <is>
          <t>Старт (ежедневно)</t>
        </is>
      </c>
      <c r="E16" s="20" t="inlineStr">
        <is>
          <t>бег</t>
        </is>
      </c>
      <c r="F16" s="20" t="inlineStr">
        <is>
          <t>Интервалы + подтягивания</t>
        </is>
      </c>
      <c r="G16" s="20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ИНТЕРВАЛЫ: 6×200 М
• Каждый отрезок за 0:57 (примерно)
• Отдых между отрезками: 90 с, ходьба
• Цель недели по темпу 1 км: 5:05
• Если не получается держать время, уменьши число повторов, а не темп
ПОДТЯГИВАНИЯ (БЫСТРО)
• Лестница: 1-2-1-2-1-2 с отдыхом 90 секунд
• Негативные 2×3
ЗАМИНКА 5–8 МИН
• Ходьба 3–5 минут, пока пульс не успокоится
• Растяжка по 30 секунд: икры, бёдра, ягодицы, грудь</t>
        </is>
      </c>
      <c r="H16" s="18" t="n"/>
      <c r="I16" s="16" t="n"/>
    </row>
    <row r="17" ht="315" customHeight="1">
      <c r="A17" s="20" t="n">
        <v>2</v>
      </c>
      <c r="B17" s="21">
        <f>'Расчёт'!$B$11+12</f>
        <v/>
      </c>
      <c r="C17" s="20">
        <f>TEXT(B17,"ddd")</f>
        <v/>
      </c>
      <c r="D17" s="20" t="inlineStr">
        <is>
          <t>Старт (ежедневно)</t>
        </is>
      </c>
      <c r="E17" s="20" t="inlineStr">
        <is>
          <t>сила</t>
        </is>
      </c>
      <c r="F17" s="20" t="inlineStr">
        <is>
          <t>Сила: ноги, спина, кор</t>
        </is>
      </c>
      <c r="G17" s="20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НОГИ И ЯГОДИЦЫ (КОЛЕНИ БЕРЕГУ)
• Присед до скамьи 3×10, с w≥5 с рюкзаком
• Подъём на скамью 3×8 на ногу
• Румынская тяга с рюкзаком 3×10–12
• Ягодичный мостик 3×15
• Подъём на носки 3×15–20
АВСТРАЛИЙСКИЕ ПОДТЯГИВАНИЯ
• 3×8–12
КОР (КУБИКИ)
• Планка 3×40 с
• Подъём коленей/ног в висе 3×6–10
• Мёртвый жук 3×8 на сторону
ЗАМИНКА 5–8 МИН
• Ходьба 3–5 минут, пока пульс не успокоится
• Растяжка по 30 секунд: икры, бёдра, ягодицы, грудь</t>
        </is>
      </c>
      <c r="H17" s="18" t="n"/>
      <c r="I17" s="16" t="n"/>
    </row>
    <row r="18" ht="60" customHeight="1">
      <c r="A18" s="20" t="n">
        <v>2</v>
      </c>
      <c r="B18" s="21">
        <f>'Расчёт'!$B$11+13</f>
        <v/>
      </c>
      <c r="C18" s="20">
        <f>TEXT(B18,"ddd")</f>
        <v/>
      </c>
      <c r="D18" s="20" t="inlineStr">
        <is>
          <t>Старт (ежедневно)</t>
        </is>
      </c>
      <c r="E18" s="20" t="inlineStr">
        <is>
          <t>отдых</t>
        </is>
      </c>
      <c r="F18" s="20" t="inlineStr">
        <is>
          <t>Отдых</t>
        </is>
      </c>
      <c r="G18" s="20" t="inlineStr">
        <is>
          <t>ЧТО ДЕЛАТЬ
• Прогулка 30–40 минут
• Подготовь еду на следующую неделю</t>
        </is>
      </c>
      <c r="H18" s="18" t="n"/>
      <c r="I18" s="16" t="n"/>
    </row>
    <row r="19" ht="390" customHeight="1">
      <c r="A19" s="16" t="n">
        <v>3</v>
      </c>
      <c r="B19" s="17">
        <f>'Расчёт'!$B$11+14</f>
        <v/>
      </c>
      <c r="C19" s="16">
        <f>TEXT(B19,"ddd")</f>
        <v/>
      </c>
      <c r="D19" s="16" t="inlineStr">
        <is>
          <t>База</t>
        </is>
      </c>
      <c r="E19" s="16" t="inlineStr">
        <is>
          <t>бег</t>
        </is>
      </c>
      <c r="F19" s="16" t="inlineStr">
        <is>
          <t>Сессия А: интервальный бег + подтягивания + кор</t>
        </is>
      </c>
      <c r="G19" s="16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ИНТЕРВАЛЫ: 6×200 М
• Каждый отрезок за 0:57 (примерно)
• Отдых между отрезками: 90 с, ходьба
• Цель недели по темпу 1 км: 5:02
• Если не получается держать время, уменьши число повторов, а не темп
ПОДТЯГИВАНИЯ
• 5×3 строгих повторов, отдых 2 минуты (не до отказа)
• Негативные: 3×4 с опусканием 4–5 секунд (если максимум 8+, делай подтягивания с паузой 2 с вверху)
• Австралийские подтягивания: 3×8–12
КОР (КУБИКИ)
• Планка 3×45 с
• Подъём коленей/ног в висе 3×6–10
• Мёртвый жук 3×8 на сторону
ЗАМИНКА 5–8 МИН
• Ходьба 3–5 минут, пока пульс не успокоится
• Растяжка по 30 секунд: икры, бёдра, ягодицы, грудь
КАЖДЫЙ ДЕНЬ, 5 МИНУТ (НЕ ОТДЕЛЬНАЯ ТРЕНИРОВКА)
• Подтягивания 2 раза, 2–3 подхода в разное время дня, не до утомления
• Ходьба: цель 8–10 тысяч шагов
• Вода 2–2,5 литра и сон 7–8 часов</t>
        </is>
      </c>
      <c r="H19" s="18" t="n"/>
      <c r="I19" s="16" t="n"/>
    </row>
    <row r="20" ht="75" customHeight="1">
      <c r="A20" s="16" t="n">
        <v>3</v>
      </c>
      <c r="B20" s="17">
        <f>'Расчёт'!$B$11+15</f>
        <v/>
      </c>
      <c r="C20" s="16">
        <f>TEXT(B20,"ddd")</f>
        <v/>
      </c>
      <c r="D20" s="16" t="inlineStr">
        <is>
          <t>База</t>
        </is>
      </c>
      <c r="E20" s="16" t="inlineStr">
        <is>
          <t>отдых</t>
        </is>
      </c>
      <c r="F20" s="16" t="inlineStr">
        <is>
          <t>Лёгкий день</t>
        </is>
      </c>
      <c r="G20" s="16" t="inlineStr">
        <is>
          <t>КАЖДЫЙ ДЕНЬ, 5 МИНУТ (НЕ ОТДЕЛЬНАЯ ТРЕНИРОВКА)
• Подтягивания 2 раза, 2–3 подхода в разное время дня, не до утомления
• Ходьба: цель 8–10 тысяч шагов
• Вода 2–2,5 литра и сон 7–8 часов</t>
        </is>
      </c>
      <c r="H20" s="18" t="n"/>
      <c r="I20" s="16" t="n"/>
    </row>
    <row r="21" ht="75" customHeight="1">
      <c r="A21" s="16" t="n">
        <v>3</v>
      </c>
      <c r="B21" s="17">
        <f>'Расчёт'!$B$11+16</f>
        <v/>
      </c>
      <c r="C21" s="16">
        <f>TEXT(B21,"ddd")</f>
        <v/>
      </c>
      <c r="D21" s="16" t="inlineStr">
        <is>
          <t>База</t>
        </is>
      </c>
      <c r="E21" s="16" t="inlineStr">
        <is>
          <t>отдых</t>
        </is>
      </c>
      <c r="F21" s="16" t="inlineStr">
        <is>
          <t>Лёгкий день</t>
        </is>
      </c>
      <c r="G21" s="16" t="inlineStr">
        <is>
          <t>КАЖДЫЙ ДЕНЬ, 5 МИНУТ (НЕ ОТДЕЛЬНАЯ ТРЕНИРОВКА)
• Подтягивания 2 раза, 2–3 подхода в разное время дня, не до утомления
• Ходьба: цель 8–10 тысяч шагов
• Вода 2–2,5 литра и сон 7–8 часов</t>
        </is>
      </c>
      <c r="H21" s="18" t="n"/>
      <c r="I21" s="16" t="n"/>
    </row>
    <row r="22" ht="420" customHeight="1">
      <c r="A22" s="16" t="n">
        <v>3</v>
      </c>
      <c r="B22" s="17">
        <f>'Расчёт'!$B$11+17</f>
        <v/>
      </c>
      <c r="C22" s="16">
        <f>TEXT(B22,"ddd")</f>
        <v/>
      </c>
      <c r="D22" s="16" t="inlineStr">
        <is>
          <t>База</t>
        </is>
      </c>
      <c r="E22" s="16" t="inlineStr">
        <is>
          <t>челнок</t>
        </is>
      </c>
      <c r="F22" s="16" t="inlineStr">
        <is>
          <t>Сессия Б: челночный + ноги + подтягивания</t>
        </is>
      </c>
      <c r="G22" s="16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ЧЕЛНОЧНЫЙ БЕГ
• Техника разворота на 5 м: 6 раз
• 4×10×10 м, из них 2 быстрых (цель 27.6 с), отдых 3 минуты, ходьба
• Остальные на 85% скорости
НОГИ И ЯГОДИЦЫ (КОЛЕНИ БЕРЕГУ)
• Присед до скамьи 3×10, с w≥5 с рюкзаком
• Подъём на скамью 3×8 на ногу
• Румынская тяга с рюкзаком 3×10–12
• Ягодичный мостик 3×15
• Подъём на носки 3×15–20
ПОДТЯГИВАНИЯ: ЛЕСТНИЦЫ
• 3 лестницы 1-2-…-2 с отдыхом 2 минуты
ОТЖИМАНИЯ И КОР
• Отжимания 3×(максимум − 2)
• Скручивания 3×15
ЗАМИНКА 5–8 МИН
• Ходьба 3–5 минут, пока пульс не успокоится
• Растяжка по 30 секунд: икры, бёдра, ягодицы, грудь
КАЖДЫЙ ДЕНЬ, 5 МИНУТ (НЕ ОТДЕЛЬНАЯ ТРЕНИРОВКА)
• Подтягивания 2 раза, 2–3 подхода в разное время дня, не до утомления
• Ходьба: цель 8–10 тысяч шагов
• Вода 2–2,5 литра и сон 7–8 часов</t>
        </is>
      </c>
      <c r="H22" s="18" t="n"/>
      <c r="I22" s="16" t="n"/>
    </row>
    <row r="23" ht="75" customHeight="1">
      <c r="A23" s="16" t="n">
        <v>3</v>
      </c>
      <c r="B23" s="17">
        <f>'Расчёт'!$B$11+18</f>
        <v/>
      </c>
      <c r="C23" s="16">
        <f>TEXT(B23,"ddd")</f>
        <v/>
      </c>
      <c r="D23" s="16" t="inlineStr">
        <is>
          <t>База</t>
        </is>
      </c>
      <c r="E23" s="16" t="inlineStr">
        <is>
          <t>отдых</t>
        </is>
      </c>
      <c r="F23" s="16" t="inlineStr">
        <is>
          <t>Лёгкий день</t>
        </is>
      </c>
      <c r="G23" s="16" t="inlineStr">
        <is>
          <t>КАЖДЫЙ ДЕНЬ, 5 МИНУТ (НЕ ОТДЕЛЬНАЯ ТРЕНИРОВКА)
• Подтягивания 2 раза, 2–3 подхода в разное время дня, не до утомления
• Ходьба: цель 8–10 тысяч шагов
• Вода 2–2,5 литра и сон 7–8 часов</t>
        </is>
      </c>
      <c r="H23" s="18" t="n"/>
      <c r="I23" s="16" t="n"/>
    </row>
    <row r="24" ht="60" customHeight="1">
      <c r="A24" s="16" t="n">
        <v>3</v>
      </c>
      <c r="B24" s="17">
        <f>'Расчёт'!$B$11+19</f>
        <v/>
      </c>
      <c r="C24" s="16">
        <f>TEXT(B24,"ddd")</f>
        <v/>
      </c>
      <c r="D24" s="16" t="inlineStr">
        <is>
          <t>База</t>
        </is>
      </c>
      <c r="E24" s="16" t="inlineStr">
        <is>
          <t>по желанию</t>
        </is>
      </c>
      <c r="F24" s="16" t="inlineStr">
        <is>
          <t>Необязательно: лёгкий бег</t>
        </is>
      </c>
      <c r="G24" s="16" t="inlineStr">
        <is>
          <t>ЧТО ДЕЛАТЬ
• Лёгкий бег 25 мин (разговорный темп), при необходимости с ходьбой по 1 мин каждые 5
• Если колени болят, замени на ходьбу 40 минут</t>
        </is>
      </c>
      <c r="H24" s="18" t="n"/>
      <c r="I24" s="16" t="n"/>
    </row>
    <row r="25" ht="60" customHeight="1">
      <c r="A25" s="16" t="n">
        <v>3</v>
      </c>
      <c r="B25" s="17">
        <f>'Расчёт'!$B$11+20</f>
        <v/>
      </c>
      <c r="C25" s="16">
        <f>TEXT(B25,"ddd")</f>
        <v/>
      </c>
      <c r="D25" s="16" t="inlineStr">
        <is>
          <t>База</t>
        </is>
      </c>
      <c r="E25" s="16" t="inlineStr">
        <is>
          <t>отдых</t>
        </is>
      </c>
      <c r="F25" s="16" t="inlineStr">
        <is>
          <t>Отдых</t>
        </is>
      </c>
      <c r="G25" s="16" t="inlineStr">
        <is>
          <t>ЧТО ДЕЛАТЬ
• Прогулка 30 минут
• Подготовь еду на неделю</t>
        </is>
      </c>
      <c r="H25" s="18" t="n"/>
      <c r="I25" s="16" t="n"/>
    </row>
    <row r="26" ht="180" customHeight="1">
      <c r="A26" s="20" t="n">
        <v>4</v>
      </c>
      <c r="B26" s="21">
        <f>'Расчёт'!$B$11+21</f>
        <v/>
      </c>
      <c r="C26" s="20">
        <f>TEXT(B26,"ddd")</f>
        <v/>
      </c>
      <c r="D26" s="20" t="inlineStr">
        <is>
          <t>Контроль</t>
        </is>
      </c>
      <c r="E26" s="20" t="inlineStr">
        <is>
          <t>контроль</t>
        </is>
      </c>
      <c r="F26" s="20" t="inlineStr">
        <is>
          <t>Контроль: 1 км</t>
        </is>
      </c>
      <c r="G26" s="20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ТЕСТ
• Один забег на 1 км на максимум. Равномерный темп, финиш с ускорением.
• Запиши время в дневник.
ЗАМИНКА 5–8 МИН
• Ходьба 3–5 минут, пока пульс не успокоится
• Растяжка по 30 секунд: икры, бёдра, ягодицы, грудь</t>
        </is>
      </c>
      <c r="H26" s="18" t="n"/>
      <c r="I26" s="16" t="n"/>
    </row>
    <row r="27" ht="180" customHeight="1">
      <c r="A27" s="20" t="n">
        <v>4</v>
      </c>
      <c r="B27" s="21">
        <f>'Расчёт'!$B$11+22</f>
        <v/>
      </c>
      <c r="C27" s="20">
        <f>TEXT(B27,"ddd")</f>
        <v/>
      </c>
      <c r="D27" s="20" t="inlineStr">
        <is>
          <t>Контроль</t>
        </is>
      </c>
      <c r="E27" s="20" t="inlineStr">
        <is>
          <t>контроль</t>
        </is>
      </c>
      <c r="F27" s="20" t="inlineStr">
        <is>
          <t>Контроль: подтягивания</t>
        </is>
      </c>
      <c r="G27" s="20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ТЕСТ
• Один подход максимума, строго: руки выпрямлены внизу, подбородок над перекладиной.
• Затем лёгкая сила: отжимания 2×(максимум − 4), планка 2×40 с
ЗАМИНКА 5–8 МИН
• Ходьба 3–5 минут, пока пульс не успокоится
• Растяжка по 30 секунд: икры, бёдра, ягодицы, грудь</t>
        </is>
      </c>
      <c r="H27" s="18" t="n"/>
      <c r="I27" s="16" t="n"/>
    </row>
    <row r="28" ht="60" customHeight="1">
      <c r="A28" s="20" t="n">
        <v>4</v>
      </c>
      <c r="B28" s="21">
        <f>'Расчёт'!$B$11+23</f>
        <v/>
      </c>
      <c r="C28" s="20">
        <f>TEXT(B28,"ddd")</f>
        <v/>
      </c>
      <c r="D28" s="20" t="inlineStr">
        <is>
          <t>Контроль</t>
        </is>
      </c>
      <c r="E28" s="20" t="inlineStr">
        <is>
          <t>отдых</t>
        </is>
      </c>
      <c r="F28" s="20" t="inlineStr">
        <is>
          <t>Восстановление</t>
        </is>
      </c>
      <c r="G28" s="20" t="inlineStr">
        <is>
          <t>ЧТО ДЕЛАТЬ
• Быстрая ходьба 40 минут
• Мобильность и растяжка</t>
        </is>
      </c>
      <c r="H28" s="18" t="n"/>
      <c r="I28" s="16" t="n"/>
    </row>
    <row r="29" ht="180" customHeight="1">
      <c r="A29" s="20" t="n">
        <v>4</v>
      </c>
      <c r="B29" s="21">
        <f>'Расчёт'!$B$11+24</f>
        <v/>
      </c>
      <c r="C29" s="20">
        <f>TEXT(B29,"ddd")</f>
        <v/>
      </c>
      <c r="D29" s="20" t="inlineStr">
        <is>
          <t>Контроль</t>
        </is>
      </c>
      <c r="E29" s="20" t="inlineStr">
        <is>
          <t>контроль</t>
        </is>
      </c>
      <c r="F29" s="20" t="inlineStr">
        <is>
          <t>Контроль: челночный 10×10</t>
        </is>
      </c>
      <c r="G29" s="20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ТЕСТ
• 3 попытки по 10×10 м, отдых 4 минуты, лучшая идёт в дневник.
• Следи за правилом касания линии.
ЗАМИНКА 5–8 МИН
• Ходьба 3–5 минут, пока пульс не успокоится
• Растяжка по 30 секунд: икры, бёдра, ягодицы, грудь</t>
        </is>
      </c>
      <c r="H29" s="18" t="n"/>
      <c r="I29" s="16" t="n"/>
    </row>
    <row r="30" ht="45" customHeight="1">
      <c r="A30" s="20" t="n">
        <v>4</v>
      </c>
      <c r="B30" s="21">
        <f>'Расчёт'!$B$11+25</f>
        <v/>
      </c>
      <c r="C30" s="20">
        <f>TEXT(B30,"ddd")</f>
        <v/>
      </c>
      <c r="D30" s="20" t="inlineStr">
        <is>
          <t>Контроль</t>
        </is>
      </c>
      <c r="E30" s="20" t="inlineStr">
        <is>
          <t>отдых</t>
        </is>
      </c>
      <c r="F30" s="20" t="inlineStr">
        <is>
          <t>Отдых</t>
        </is>
      </c>
      <c r="G30" s="20" t="inlineStr">
        <is>
          <t>ЧТО ДЕЛАТЬ
• Отдых, сон 7–8 часов</t>
        </is>
      </c>
      <c r="H30" s="18" t="n"/>
      <c r="I30" s="16" t="n"/>
    </row>
    <row r="31" ht="45" customHeight="1">
      <c r="A31" s="20" t="n">
        <v>4</v>
      </c>
      <c r="B31" s="21">
        <f>'Расчёт'!$B$11+26</f>
        <v/>
      </c>
      <c r="C31" s="20">
        <f>TEXT(B31,"ddd")</f>
        <v/>
      </c>
      <c r="D31" s="20" t="inlineStr">
        <is>
          <t>Контроль</t>
        </is>
      </c>
      <c r="E31" s="20" t="inlineStr">
        <is>
          <t>по желанию</t>
        </is>
      </c>
      <c r="F31" s="20" t="inlineStr">
        <is>
          <t>Необязательно: лёгкая прогулка-бег</t>
        </is>
      </c>
      <c r="G31" s="20" t="inlineStr">
        <is>
          <t>ЧТО ДЕЛАТЬ
• Ходьба 40 минут или лёгкий бег 20 минут</t>
        </is>
      </c>
      <c r="H31" s="18" t="n"/>
      <c r="I31" s="16" t="n"/>
    </row>
    <row r="32" ht="60" customHeight="1">
      <c r="A32" s="20" t="n">
        <v>4</v>
      </c>
      <c r="B32" s="21">
        <f>'Расчёт'!$B$11+27</f>
        <v/>
      </c>
      <c r="C32" s="20">
        <f>TEXT(B32,"ddd")</f>
        <v/>
      </c>
      <c r="D32" s="20" t="inlineStr">
        <is>
          <t>Контроль</t>
        </is>
      </c>
      <c r="E32" s="20" t="inlineStr">
        <is>
          <t>отдых</t>
        </is>
      </c>
      <c r="F32" s="20" t="inlineStr">
        <is>
          <t>Отдых</t>
        </is>
      </c>
      <c r="G32" s="20" t="inlineStr">
        <is>
          <t>ЧТО ДЕЛАТЬ
• Отдых
• Подведи итоги теста в дневнике</t>
        </is>
      </c>
      <c r="H32" s="18" t="n"/>
      <c r="I32" s="16" t="n"/>
    </row>
    <row r="33" ht="390" customHeight="1">
      <c r="A33" s="16" t="n">
        <v>5</v>
      </c>
      <c r="B33" s="17">
        <f>'Расчёт'!$B$11+28</f>
        <v/>
      </c>
      <c r="C33" s="16">
        <f>TEXT(B33,"ddd")</f>
        <v/>
      </c>
      <c r="D33" s="16" t="inlineStr">
        <is>
          <t>Развитие</t>
        </is>
      </c>
      <c r="E33" s="16" t="inlineStr">
        <is>
          <t>бег</t>
        </is>
      </c>
      <c r="F33" s="16" t="inlineStr">
        <is>
          <t>Сессия А: интервальный бег + подтягивания + кор</t>
        </is>
      </c>
      <c r="G33" s="16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ИНТЕРВАЛЫ: 5×300 М
• Каждый отрезок за 1:26 (примерно)
• Отдых между отрезками: 2 мин, ходьба
• Цель недели по темпу 1 км: 4:57
• Если не получается держать время, уменьши число повторов, а не темп
ПОДТЯГИВАНИЯ
• 4×3 строгих повторов, отдых 2 минуты (не до отказа)
• Негативные: 3×4 с опусканием 4–5 секунд (если максимум 8+, делай подтягивания с паузой 2 с вверху)
• Австралийские подтягивания: 3×8–12
КОР (КУБИКИ)
• Планка 3×55 с
• Подъём коленей/ног в висе 3×6–10
• Мёртвый жук 3×8 на сторону
ЗАМИНКА 5–8 МИН
• Ходьба 3–5 минут, пока пульс не успокоится
• Растяжка по 30 секунд: икры, бёдра, ягодицы, грудь
КАЖДЫЙ ДЕНЬ, 5 МИНУТ (НЕ ОТДЕЛЬНАЯ ТРЕНИРОВКА)
• Подтягивания 2 раза, 2–3 подхода в разное время дня, не до утомления
• Ходьба: цель 8–10 тысяч шагов
• Вода 2–2,5 литра и сон 7–8 часов</t>
        </is>
      </c>
      <c r="H33" s="18" t="n"/>
      <c r="I33" s="16" t="n"/>
    </row>
    <row r="34" ht="75" customHeight="1">
      <c r="A34" s="16" t="n">
        <v>5</v>
      </c>
      <c r="B34" s="17">
        <f>'Расчёт'!$B$11+29</f>
        <v/>
      </c>
      <c r="C34" s="16">
        <f>TEXT(B34,"ddd")</f>
        <v/>
      </c>
      <c r="D34" s="16" t="inlineStr">
        <is>
          <t>Развитие</t>
        </is>
      </c>
      <c r="E34" s="16" t="inlineStr">
        <is>
          <t>отдых</t>
        </is>
      </c>
      <c r="F34" s="16" t="inlineStr">
        <is>
          <t>Лёгкий день</t>
        </is>
      </c>
      <c r="G34" s="16" t="inlineStr">
        <is>
          <t>КАЖДЫЙ ДЕНЬ, 5 МИНУТ (НЕ ОТДЕЛЬНАЯ ТРЕНИРОВКА)
• Подтягивания 2 раза, 2–3 подхода в разное время дня, не до утомления
• Ходьба: цель 8–10 тысяч шагов
• Вода 2–2,5 литра и сон 7–8 часов</t>
        </is>
      </c>
      <c r="H34" s="18" t="n"/>
      <c r="I34" s="16" t="n"/>
    </row>
    <row r="35" ht="75" customHeight="1">
      <c r="A35" s="16" t="n">
        <v>5</v>
      </c>
      <c r="B35" s="17">
        <f>'Расчёт'!$B$11+30</f>
        <v/>
      </c>
      <c r="C35" s="16">
        <f>TEXT(B35,"ddd")</f>
        <v/>
      </c>
      <c r="D35" s="16" t="inlineStr">
        <is>
          <t>Развитие</t>
        </is>
      </c>
      <c r="E35" s="16" t="inlineStr">
        <is>
          <t>отдых</t>
        </is>
      </c>
      <c r="F35" s="16" t="inlineStr">
        <is>
          <t>Лёгкий день</t>
        </is>
      </c>
      <c r="G35" s="16" t="inlineStr">
        <is>
          <t>КАЖДЫЙ ДЕНЬ, 5 МИНУТ (НЕ ОТДЕЛЬНАЯ ТРЕНИРОВКА)
• Подтягивания 2 раза, 2–3 подхода в разное время дня, не до утомления
• Ходьба: цель 8–10 тысяч шагов
• Вода 2–2,5 литра и сон 7–8 часов</t>
        </is>
      </c>
      <c r="H35" s="18" t="n"/>
      <c r="I35" s="16" t="n"/>
    </row>
    <row r="36" ht="420" customHeight="1">
      <c r="A36" s="16" t="n">
        <v>5</v>
      </c>
      <c r="B36" s="17">
        <f>'Расчёт'!$B$11+31</f>
        <v/>
      </c>
      <c r="C36" s="16">
        <f>TEXT(B36,"ddd")</f>
        <v/>
      </c>
      <c r="D36" s="16" t="inlineStr">
        <is>
          <t>Развитие</t>
        </is>
      </c>
      <c r="E36" s="16" t="inlineStr">
        <is>
          <t>челнок</t>
        </is>
      </c>
      <c r="F36" s="16" t="inlineStr">
        <is>
          <t>Сессия Б: челночный + ноги + подтягивания</t>
        </is>
      </c>
      <c r="G36" s="16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ЧЕЛНОЧНЫЙ БЕГ
• Техника разворота на 5 м: 6 раз
• 5×10×10 м, из них 2 быстрых (цель 27.3 с), отдых 3 минуты, ходьба
• Остальные на 85% скорости
НОГИ И ЯГОДИЦЫ (КОЛЕНИ БЕРЕГУ)
• Присед до скамьи 4×12, с w≥5 с рюкзаком
• Подъём на скамью 3×8 на ногу
• Румынская тяга с рюкзаком 3×10–12
• Ягодичный мостик 3×15
• Подъём на носки 3×15–20
ПОДТЯГИВАНИЯ: ЛЕСТНИЦЫ
• 3 лестницы 1-2-…-2 с отдыхом 2 минуты
ОТЖИМАНИЯ И КОР
• Отжимания 3×(максимум − 2)
• Скручивания 3×15
ЗАМИНКА 5–8 МИН
• Ходьба 3–5 минут, пока пульс не успокоится
• Растяжка по 30 секунд: икры, бёдра, ягодицы, грудь
КАЖДЫЙ ДЕНЬ, 5 МИНУТ (НЕ ОТДЕЛЬНАЯ ТРЕНИРОВКА)
• Подтягивания 2 раза, 2–3 подхода в разное время дня, не до утомления
• Ходьба: цель 8–10 тысяч шагов
• Вода 2–2,5 литра и сон 7–8 часов</t>
        </is>
      </c>
      <c r="H36" s="18" t="n"/>
      <c r="I36" s="16" t="n"/>
    </row>
    <row r="37" ht="75" customHeight="1">
      <c r="A37" s="16" t="n">
        <v>5</v>
      </c>
      <c r="B37" s="17">
        <f>'Расчёт'!$B$11+32</f>
        <v/>
      </c>
      <c r="C37" s="16">
        <f>TEXT(B37,"ddd")</f>
        <v/>
      </c>
      <c r="D37" s="16" t="inlineStr">
        <is>
          <t>Развитие</t>
        </is>
      </c>
      <c r="E37" s="16" t="inlineStr">
        <is>
          <t>отдых</t>
        </is>
      </c>
      <c r="F37" s="16" t="inlineStr">
        <is>
          <t>Лёгкий день</t>
        </is>
      </c>
      <c r="G37" s="16" t="inlineStr">
        <is>
          <t>КАЖДЫЙ ДЕНЬ, 5 МИНУТ (НЕ ОТДЕЛЬНАЯ ТРЕНИРОВКА)
• Подтягивания 2 раза, 2–3 подхода в разное время дня, не до утомления
• Ходьба: цель 8–10 тысяч шагов
• Вода 2–2,5 литра и сон 7–8 часов</t>
        </is>
      </c>
      <c r="H37" s="18" t="n"/>
      <c r="I37" s="16" t="n"/>
    </row>
    <row r="38" ht="60" customHeight="1">
      <c r="A38" s="16" t="n">
        <v>5</v>
      </c>
      <c r="B38" s="17">
        <f>'Расчёт'!$B$11+33</f>
        <v/>
      </c>
      <c r="C38" s="16">
        <f>TEXT(B38,"ddd")</f>
        <v/>
      </c>
      <c r="D38" s="16" t="inlineStr">
        <is>
          <t>Развитие</t>
        </is>
      </c>
      <c r="E38" s="16" t="inlineStr">
        <is>
          <t>по желанию</t>
        </is>
      </c>
      <c r="F38" s="16" t="inlineStr">
        <is>
          <t>Необязательно: лёгкий бег</t>
        </is>
      </c>
      <c r="G38" s="16" t="inlineStr">
        <is>
          <t>ЧТО ДЕЛАТЬ
• Лёгкий бег 30 мин (разговорный темп), при необходимости с ходьбой по 1 мин каждые 5
• Если колени болят, замени на ходьбу 40 минут</t>
        </is>
      </c>
      <c r="H38" s="18" t="n"/>
      <c r="I38" s="16" t="n"/>
    </row>
    <row r="39" ht="60" customHeight="1">
      <c r="A39" s="16" t="n">
        <v>5</v>
      </c>
      <c r="B39" s="17">
        <f>'Расчёт'!$B$11+34</f>
        <v/>
      </c>
      <c r="C39" s="16">
        <f>TEXT(B39,"ddd")</f>
        <v/>
      </c>
      <c r="D39" s="16" t="inlineStr">
        <is>
          <t>Развитие</t>
        </is>
      </c>
      <c r="E39" s="16" t="inlineStr">
        <is>
          <t>отдых</t>
        </is>
      </c>
      <c r="F39" s="16" t="inlineStr">
        <is>
          <t>Отдых</t>
        </is>
      </c>
      <c r="G39" s="16" t="inlineStr">
        <is>
          <t>ЧТО ДЕЛАТЬ
• Прогулка 30 минут
• Подготовь еду на неделю</t>
        </is>
      </c>
      <c r="H39" s="18" t="n"/>
      <c r="I39" s="16" t="n"/>
    </row>
    <row r="40" ht="390" customHeight="1">
      <c r="A40" s="20" t="n">
        <v>6</v>
      </c>
      <c r="B40" s="21">
        <f>'Расчёт'!$B$11+35</f>
        <v/>
      </c>
      <c r="C40" s="20">
        <f>TEXT(B40,"ddd")</f>
        <v/>
      </c>
      <c r="D40" s="20" t="inlineStr">
        <is>
          <t>Развитие</t>
        </is>
      </c>
      <c r="E40" s="20" t="inlineStr">
        <is>
          <t>бег</t>
        </is>
      </c>
      <c r="F40" s="20" t="inlineStr">
        <is>
          <t>Сессия А: интервальный бег + подтягивания + кор</t>
        </is>
      </c>
      <c r="G40" s="20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ИНТЕРВАЛЫ: 4×400 М
• Каждый отрезок за 1:54 (примерно)
• Отдых между отрезками: 2:30, ходьба
• Цель недели по темпу 1 км: 4:54
• Если не получается держать время, уменьши число повторов, а не темп
ПОДТЯГИВАНИЯ
• 5×4 строгих повторов, отдых 2 минуты (не до отказа)
• Негативные: 3×4 с опусканием 4–5 секунд (если максимум 8+, делай подтягивания с паузой 2 с вверху)
• Австралийские подтягивания: 3×8–12
КОР (КУБИКИ)
• Планка 3×60 с
• Подъём коленей/ног в висе 3×6–10
• Мёртвый жук 3×8 на сторону
ЗАМИНКА 5–8 МИН
• Ходьба 3–5 минут, пока пульс не успокоится
• Растяжка по 30 секунд: икры, бёдра, ягодицы, грудь
КАЖДЫЙ ДЕНЬ, 5 МИНУТ (НЕ ОТДЕЛЬНАЯ ТРЕНИРОВКА)
• Подтягивания 2 раза, 2–3 подхода в разное время дня, не до утомления
• Ходьба: цель 8–10 тысяч шагов
• Вода 2–2,5 литра и сон 7–8 часов</t>
        </is>
      </c>
      <c r="H40" s="18" t="n"/>
      <c r="I40" s="16" t="n"/>
    </row>
    <row r="41" ht="75" customHeight="1">
      <c r="A41" s="20" t="n">
        <v>6</v>
      </c>
      <c r="B41" s="21">
        <f>'Расчёт'!$B$11+36</f>
        <v/>
      </c>
      <c r="C41" s="20">
        <f>TEXT(B41,"ddd")</f>
        <v/>
      </c>
      <c r="D41" s="20" t="inlineStr">
        <is>
          <t>Развитие</t>
        </is>
      </c>
      <c r="E41" s="20" t="inlineStr">
        <is>
          <t>отдых</t>
        </is>
      </c>
      <c r="F41" s="20" t="inlineStr">
        <is>
          <t>Лёгкий день</t>
        </is>
      </c>
      <c r="G41" s="20" t="inlineStr">
        <is>
          <t>КАЖДЫЙ ДЕНЬ, 5 МИНУТ (НЕ ОТДЕЛЬНАЯ ТРЕНИРОВКА)
• Подтягивания 2 раза, 2–3 подхода в разное время дня, не до утомления
• Ходьба: цель 8–10 тысяч шагов
• Вода 2–2,5 литра и сон 7–8 часов</t>
        </is>
      </c>
      <c r="H41" s="18" t="n"/>
      <c r="I41" s="16" t="n"/>
    </row>
    <row r="42" ht="75" customHeight="1">
      <c r="A42" s="20" t="n">
        <v>6</v>
      </c>
      <c r="B42" s="21">
        <f>'Расчёт'!$B$11+37</f>
        <v/>
      </c>
      <c r="C42" s="20">
        <f>TEXT(B42,"ddd")</f>
        <v/>
      </c>
      <c r="D42" s="20" t="inlineStr">
        <is>
          <t>Развитие</t>
        </is>
      </c>
      <c r="E42" s="20" t="inlineStr">
        <is>
          <t>отдых</t>
        </is>
      </c>
      <c r="F42" s="20" t="inlineStr">
        <is>
          <t>Лёгкий день</t>
        </is>
      </c>
      <c r="G42" s="20" t="inlineStr">
        <is>
          <t>КАЖДЫЙ ДЕНЬ, 5 МИНУТ (НЕ ОТДЕЛЬНАЯ ТРЕНИРОВКА)
• Подтягивания 2 раза, 2–3 подхода в разное время дня, не до утомления
• Ходьба: цель 8–10 тысяч шагов
• Вода 2–2,5 литра и сон 7–8 часов</t>
        </is>
      </c>
      <c r="H42" s="18" t="n"/>
      <c r="I42" s="16" t="n"/>
    </row>
    <row r="43" ht="420" customHeight="1">
      <c r="A43" s="20" t="n">
        <v>6</v>
      </c>
      <c r="B43" s="21">
        <f>'Расчёт'!$B$11+38</f>
        <v/>
      </c>
      <c r="C43" s="20">
        <f>TEXT(B43,"ddd")</f>
        <v/>
      </c>
      <c r="D43" s="20" t="inlineStr">
        <is>
          <t>Развитие</t>
        </is>
      </c>
      <c r="E43" s="20" t="inlineStr">
        <is>
          <t>челнок</t>
        </is>
      </c>
      <c r="F43" s="20" t="inlineStr">
        <is>
          <t>Сессия Б: челночный + ноги + подтягивания</t>
        </is>
      </c>
      <c r="G43" s="20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ЧЕЛНОЧНЫЙ БЕГ
• Техника разворота на 5 м: 6 раз
• 5×10×10 м, из них 2 быстрых (цель 27.1 с), отдых 3 минуты, ходьба
• Остальные на 85% скорости
НОГИ И ЯГОДИЦЫ (КОЛЕНИ БЕРЕГУ)
• Присед до скамьи 4×12, с w≥5 с рюкзаком
• Подъём на скамью 3×8 на ногу
• Румынская тяга с рюкзаком 3×10–12
• Ягодичный мостик 3×15
• Подъём на носки 3×15–20
ПОДТЯГИВАНИЯ: ЛЕСТНИЦЫ
• 3 лестницы 1-2-…-2 с отдыхом 2 минуты
ОТЖИМАНИЯ И КОР
• Отжимания 3×(максимум − 2)
• Скручивания 3×15
ЗАМИНКА 5–8 МИН
• Ходьба 3–5 минут, пока пульс не успокоится
• Растяжка по 30 секунд: икры, бёдра, ягодицы, грудь
КАЖДЫЙ ДЕНЬ, 5 МИНУТ (НЕ ОТДЕЛЬНАЯ ТРЕНИРОВКА)
• Подтягивания 2 раза, 2–3 подхода в разное время дня, не до утомления
• Ходьба: цель 8–10 тысяч шагов
• Вода 2–2,5 литра и сон 7–8 часов</t>
        </is>
      </c>
      <c r="H43" s="18" t="n"/>
      <c r="I43" s="16" t="n"/>
    </row>
    <row r="44" ht="75" customHeight="1">
      <c r="A44" s="20" t="n">
        <v>6</v>
      </c>
      <c r="B44" s="21">
        <f>'Расчёт'!$B$11+39</f>
        <v/>
      </c>
      <c r="C44" s="20">
        <f>TEXT(B44,"ddd")</f>
        <v/>
      </c>
      <c r="D44" s="20" t="inlineStr">
        <is>
          <t>Развитие</t>
        </is>
      </c>
      <c r="E44" s="20" t="inlineStr">
        <is>
          <t>отдых</t>
        </is>
      </c>
      <c r="F44" s="20" t="inlineStr">
        <is>
          <t>Лёгкий день</t>
        </is>
      </c>
      <c r="G44" s="20" t="inlineStr">
        <is>
          <t>КАЖДЫЙ ДЕНЬ, 5 МИНУТ (НЕ ОТДЕЛЬНАЯ ТРЕНИРОВКА)
• Подтягивания 2 раза, 2–3 подхода в разное время дня, не до утомления
• Ходьба: цель 8–10 тысяч шагов
• Вода 2–2,5 литра и сон 7–8 часов</t>
        </is>
      </c>
      <c r="H44" s="18" t="n"/>
      <c r="I44" s="16" t="n"/>
    </row>
    <row r="45" ht="60" customHeight="1">
      <c r="A45" s="20" t="n">
        <v>6</v>
      </c>
      <c r="B45" s="21">
        <f>'Расчёт'!$B$11+40</f>
        <v/>
      </c>
      <c r="C45" s="20">
        <f>TEXT(B45,"ddd")</f>
        <v/>
      </c>
      <c r="D45" s="20" t="inlineStr">
        <is>
          <t>Развитие</t>
        </is>
      </c>
      <c r="E45" s="20" t="inlineStr">
        <is>
          <t>по желанию</t>
        </is>
      </c>
      <c r="F45" s="20" t="inlineStr">
        <is>
          <t>Необязательно: лёгкий бег</t>
        </is>
      </c>
      <c r="G45" s="20" t="inlineStr">
        <is>
          <t>ЧТО ДЕЛАТЬ
• Лёгкий бег 30 мин (разговорный темп), при необходимости с ходьбой по 1 мин каждые 5
• Если колени болят, замени на ходьбу 40 минут</t>
        </is>
      </c>
      <c r="H45" s="18" t="n"/>
      <c r="I45" s="16" t="n"/>
    </row>
    <row r="46" ht="60" customHeight="1">
      <c r="A46" s="20" t="n">
        <v>6</v>
      </c>
      <c r="B46" s="21">
        <f>'Расчёт'!$B$11+41</f>
        <v/>
      </c>
      <c r="C46" s="20">
        <f>TEXT(B46,"ddd")</f>
        <v/>
      </c>
      <c r="D46" s="20" t="inlineStr">
        <is>
          <t>Развитие</t>
        </is>
      </c>
      <c r="E46" s="20" t="inlineStr">
        <is>
          <t>отдых</t>
        </is>
      </c>
      <c r="F46" s="20" t="inlineStr">
        <is>
          <t>Отдых</t>
        </is>
      </c>
      <c r="G46" s="20" t="inlineStr">
        <is>
          <t>ЧТО ДЕЛАТЬ
• Прогулка 30 минут
• Подготовь еду на неделю</t>
        </is>
      </c>
      <c r="H46" s="18" t="n"/>
      <c r="I46" s="16" t="n"/>
    </row>
    <row r="47" ht="390" customHeight="1">
      <c r="A47" s="16" t="n">
        <v>7</v>
      </c>
      <c r="B47" s="17">
        <f>'Расчёт'!$B$11+42</f>
        <v/>
      </c>
      <c r="C47" s="16">
        <f>TEXT(B47,"ddd")</f>
        <v/>
      </c>
      <c r="D47" s="16" t="inlineStr">
        <is>
          <t>Развитие</t>
        </is>
      </c>
      <c r="E47" s="16" t="inlineStr">
        <is>
          <t>бег</t>
        </is>
      </c>
      <c r="F47" s="16" t="inlineStr">
        <is>
          <t>Сессия А: интервальный бег + подтягивания + кор</t>
        </is>
      </c>
      <c r="G47" s="16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ИНТЕРВАЛЫ: 6×300 М
• Каждый отрезок за 1:24 (примерно)
• Отдых между отрезками: 90 с, ходьба
• Цель недели по темпу 1 км: 4:52
• Если не получается держать время, уменьши число повторов, а не темп
ПОДТЯГИВАНИЯ
• 5×4 строгих повторов, отдых 2 минуты (не до отказа)
• Негативные: 3×4 с опусканием 4–5 секунд (если максимум 8+, делай подтягивания с паузой 2 с вверху)
• Австралийские подтягивания: 3×8–12
КОР (КУБИКИ)
• Планка 3×65 с
• Подъём коленей/ног в висе 3×6–10
• Мёртвый жук 3×8 на сторону
ЗАМИНКА 5–8 МИН
• Ходьба 3–5 минут, пока пульс не успокоится
• Растяжка по 30 секунд: икры, бёдра, ягодицы, грудь
КАЖДЫЙ ДЕНЬ, 5 МИНУТ (НЕ ОТДЕЛЬНАЯ ТРЕНИРОВКА)
• Подтягивания 2 раза, 2–3 подхода в разное время дня, не до утомления
• Ходьба: цель 8–10 тысяч шагов
• Вода 2–2,5 литра и сон 7–8 часов</t>
        </is>
      </c>
      <c r="H47" s="18" t="n"/>
      <c r="I47" s="16" t="n"/>
    </row>
    <row r="48" ht="75" customHeight="1">
      <c r="A48" s="16" t="n">
        <v>7</v>
      </c>
      <c r="B48" s="17">
        <f>'Расчёт'!$B$11+43</f>
        <v/>
      </c>
      <c r="C48" s="16">
        <f>TEXT(B48,"ddd")</f>
        <v/>
      </c>
      <c r="D48" s="16" t="inlineStr">
        <is>
          <t>Развитие</t>
        </is>
      </c>
      <c r="E48" s="16" t="inlineStr">
        <is>
          <t>отдых</t>
        </is>
      </c>
      <c r="F48" s="16" t="inlineStr">
        <is>
          <t>Лёгкий день</t>
        </is>
      </c>
      <c r="G48" s="16" t="inlineStr">
        <is>
          <t>КАЖДЫЙ ДЕНЬ, 5 МИНУТ (НЕ ОТДЕЛЬНАЯ ТРЕНИРОВКА)
• Подтягивания 2 раза, 2–3 подхода в разное время дня, не до утомления
• Ходьба: цель 8–10 тысяч шагов
• Вода 2–2,5 литра и сон 7–8 часов</t>
        </is>
      </c>
      <c r="H48" s="18" t="n"/>
      <c r="I48" s="16" t="n"/>
    </row>
    <row r="49" ht="75" customHeight="1">
      <c r="A49" s="16" t="n">
        <v>7</v>
      </c>
      <c r="B49" s="17">
        <f>'Расчёт'!$B$11+44</f>
        <v/>
      </c>
      <c r="C49" s="16">
        <f>TEXT(B49,"ddd")</f>
        <v/>
      </c>
      <c r="D49" s="16" t="inlineStr">
        <is>
          <t>Развитие</t>
        </is>
      </c>
      <c r="E49" s="16" t="inlineStr">
        <is>
          <t>отдых</t>
        </is>
      </c>
      <c r="F49" s="16" t="inlineStr">
        <is>
          <t>Лёгкий день</t>
        </is>
      </c>
      <c r="G49" s="16" t="inlineStr">
        <is>
          <t>КАЖДЫЙ ДЕНЬ, 5 МИНУТ (НЕ ОТДЕЛЬНАЯ ТРЕНИРОВКА)
• Подтягивания 2 раза, 2–3 подхода в разное время дня, не до утомления
• Ходьба: цель 8–10 тысяч шагов
• Вода 2–2,5 литра и сон 7–8 часов</t>
        </is>
      </c>
      <c r="H49" s="18" t="n"/>
      <c r="I49" s="16" t="n"/>
    </row>
    <row r="50" ht="420" customHeight="1">
      <c r="A50" s="16" t="n">
        <v>7</v>
      </c>
      <c r="B50" s="17">
        <f>'Расчёт'!$B$11+45</f>
        <v/>
      </c>
      <c r="C50" s="16">
        <f>TEXT(B50,"ddd")</f>
        <v/>
      </c>
      <c r="D50" s="16" t="inlineStr">
        <is>
          <t>Развитие</t>
        </is>
      </c>
      <c r="E50" s="16" t="inlineStr">
        <is>
          <t>челнок</t>
        </is>
      </c>
      <c r="F50" s="16" t="inlineStr">
        <is>
          <t>Сессия Б: челночный + ноги + подтягивания</t>
        </is>
      </c>
      <c r="G50" s="16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ЧЕЛНОЧНЫЙ БЕГ
• Техника разворота на 5 м: 6 раз
• 6×10×10 м, из них 3 быстрых (цель 27.0 с), отдых 3 минуты, ходьба
• Остальные на 85% скорости
НОГИ И ЯГОДИЦЫ (КОЛЕНИ БЕРЕГУ)
• Присед до скамьи 4×12, с w≥5 с рюкзаком
• Подъём на скамью 3×8 на ногу
• Румынская тяга с рюкзаком 3×10–12
• Ягодичный мостик 3×15
• Подъём на носки 3×15–20
ПОДТЯГИВАНИЯ: ЛЕСТНИЦЫ
• 3 лестницы 1-2-…-2 с отдыхом 2 минуты
ОТЖИМАНИЯ И КОР
• Отжимания 3×(максимум − 2)
• Скручивания 3×15
ЗАМИНКА 5–8 МИН
• Ходьба 3–5 минут, пока пульс не успокоится
• Растяжка по 30 секунд: икры, бёдра, ягодицы, грудь
КАЖДЫЙ ДЕНЬ, 5 МИНУТ (НЕ ОТДЕЛЬНАЯ ТРЕНИРОВКА)
• Подтягивания 2 раза, 2–3 подхода в разное время дня, не до утомления
• Ходьба: цель 8–10 тысяч шагов
• Вода 2–2,5 литра и сон 7–8 часов</t>
        </is>
      </c>
      <c r="H50" s="18" t="n"/>
      <c r="I50" s="16" t="n"/>
    </row>
    <row r="51" ht="75" customHeight="1">
      <c r="A51" s="16" t="n">
        <v>7</v>
      </c>
      <c r="B51" s="17">
        <f>'Расчёт'!$B$11+46</f>
        <v/>
      </c>
      <c r="C51" s="16">
        <f>TEXT(B51,"ddd")</f>
        <v/>
      </c>
      <c r="D51" s="16" t="inlineStr">
        <is>
          <t>Развитие</t>
        </is>
      </c>
      <c r="E51" s="16" t="inlineStr">
        <is>
          <t>отдых</t>
        </is>
      </c>
      <c r="F51" s="16" t="inlineStr">
        <is>
          <t>Лёгкий день</t>
        </is>
      </c>
      <c r="G51" s="16" t="inlineStr">
        <is>
          <t>КАЖДЫЙ ДЕНЬ, 5 МИНУТ (НЕ ОТДЕЛЬНАЯ ТРЕНИРОВКА)
• Подтягивания 2 раза, 2–3 подхода в разное время дня, не до утомления
• Ходьба: цель 8–10 тысяч шагов
• Вода 2–2,5 литра и сон 7–8 часов</t>
        </is>
      </c>
      <c r="H51" s="18" t="n"/>
      <c r="I51" s="16" t="n"/>
    </row>
    <row r="52" ht="60" customHeight="1">
      <c r="A52" s="16" t="n">
        <v>7</v>
      </c>
      <c r="B52" s="17">
        <f>'Расчёт'!$B$11+47</f>
        <v/>
      </c>
      <c r="C52" s="16">
        <f>TEXT(B52,"ddd")</f>
        <v/>
      </c>
      <c r="D52" s="16" t="inlineStr">
        <is>
          <t>Развитие</t>
        </is>
      </c>
      <c r="E52" s="16" t="inlineStr">
        <is>
          <t>по желанию</t>
        </is>
      </c>
      <c r="F52" s="16" t="inlineStr">
        <is>
          <t>Необязательно: лёгкий бег</t>
        </is>
      </c>
      <c r="G52" s="16" t="inlineStr">
        <is>
          <t>ЧТО ДЕЛАТЬ
• Лёгкий бег 35 мин в разговорном темпе
• Если колени болят, замени на ходьбу 40 минут</t>
        </is>
      </c>
      <c r="H52" s="18" t="n"/>
      <c r="I52" s="16" t="n"/>
    </row>
    <row r="53" ht="60" customHeight="1">
      <c r="A53" s="16" t="n">
        <v>7</v>
      </c>
      <c r="B53" s="17">
        <f>'Расчёт'!$B$11+48</f>
        <v/>
      </c>
      <c r="C53" s="16">
        <f>TEXT(B53,"ddd")</f>
        <v/>
      </c>
      <c r="D53" s="16" t="inlineStr">
        <is>
          <t>Развитие</t>
        </is>
      </c>
      <c r="E53" s="16" t="inlineStr">
        <is>
          <t>отдых</t>
        </is>
      </c>
      <c r="F53" s="16" t="inlineStr">
        <is>
          <t>Отдых</t>
        </is>
      </c>
      <c r="G53" s="16" t="inlineStr">
        <is>
          <t>ЧТО ДЕЛАТЬ
• Прогулка 30 минут
• Подготовь еду на неделю</t>
        </is>
      </c>
      <c r="H53" s="18" t="n"/>
      <c r="I53" s="16" t="n"/>
    </row>
    <row r="54" ht="180" customHeight="1">
      <c r="A54" s="20" t="n">
        <v>8</v>
      </c>
      <c r="B54" s="21">
        <f>'Расчёт'!$B$11+49</f>
        <v/>
      </c>
      <c r="C54" s="20">
        <f>TEXT(B54,"ddd")</f>
        <v/>
      </c>
      <c r="D54" s="20" t="inlineStr">
        <is>
          <t>Контроль</t>
        </is>
      </c>
      <c r="E54" s="20" t="inlineStr">
        <is>
          <t>контроль</t>
        </is>
      </c>
      <c r="F54" s="20" t="inlineStr">
        <is>
          <t>Контроль: 1 км</t>
        </is>
      </c>
      <c r="G54" s="20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ТЕСТ
• Один забег на 1 км на максимум. Равномерный темп, финиш с ускорением.
• Запиши время в дневник.
ЗАМИНКА 5–8 МИН
• Ходьба 3–5 минут, пока пульс не успокоится
• Растяжка по 30 секунд: икры, бёдра, ягодицы, грудь</t>
        </is>
      </c>
      <c r="H54" s="18" t="n"/>
      <c r="I54" s="16" t="n"/>
    </row>
    <row r="55" ht="180" customHeight="1">
      <c r="A55" s="20" t="n">
        <v>8</v>
      </c>
      <c r="B55" s="21">
        <f>'Расчёт'!$B$11+50</f>
        <v/>
      </c>
      <c r="C55" s="20">
        <f>TEXT(B55,"ddd")</f>
        <v/>
      </c>
      <c r="D55" s="20" t="inlineStr">
        <is>
          <t>Контроль</t>
        </is>
      </c>
      <c r="E55" s="20" t="inlineStr">
        <is>
          <t>контроль</t>
        </is>
      </c>
      <c r="F55" s="20" t="inlineStr">
        <is>
          <t>Контроль: подтягивания</t>
        </is>
      </c>
      <c r="G55" s="20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ТЕСТ
• Один подход максимума, строго: руки выпрямлены внизу, подбородок над перекладиной.
• Затем лёгкая сила: отжимания 2×(максимум − 4), планка 2×40 с
ЗАМИНКА 5–8 МИН
• Ходьба 3–5 минут, пока пульс не успокоится
• Растяжка по 30 секунд: икры, бёдра, ягодицы, грудь</t>
        </is>
      </c>
      <c r="H55" s="18" t="n"/>
      <c r="I55" s="16" t="n"/>
    </row>
    <row r="56" ht="60" customHeight="1">
      <c r="A56" s="20" t="n">
        <v>8</v>
      </c>
      <c r="B56" s="21">
        <f>'Расчёт'!$B$11+51</f>
        <v/>
      </c>
      <c r="C56" s="20">
        <f>TEXT(B56,"ddd")</f>
        <v/>
      </c>
      <c r="D56" s="20" t="inlineStr">
        <is>
          <t>Контроль</t>
        </is>
      </c>
      <c r="E56" s="20" t="inlineStr">
        <is>
          <t>отдых</t>
        </is>
      </c>
      <c r="F56" s="20" t="inlineStr">
        <is>
          <t>Восстановление</t>
        </is>
      </c>
      <c r="G56" s="20" t="inlineStr">
        <is>
          <t>ЧТО ДЕЛАТЬ
• Быстрая ходьба 40 минут
• Мобильность и растяжка</t>
        </is>
      </c>
      <c r="H56" s="18" t="n"/>
      <c r="I56" s="16" t="n"/>
    </row>
    <row r="57" ht="180" customHeight="1">
      <c r="A57" s="20" t="n">
        <v>8</v>
      </c>
      <c r="B57" s="21">
        <f>'Расчёт'!$B$11+52</f>
        <v/>
      </c>
      <c r="C57" s="20">
        <f>TEXT(B57,"ddd")</f>
        <v/>
      </c>
      <c r="D57" s="20" t="inlineStr">
        <is>
          <t>Контроль</t>
        </is>
      </c>
      <c r="E57" s="20" t="inlineStr">
        <is>
          <t>контроль</t>
        </is>
      </c>
      <c r="F57" s="20" t="inlineStr">
        <is>
          <t>Контроль: челночный 10×10</t>
        </is>
      </c>
      <c r="G57" s="20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ТЕСТ
• 3 попытки по 10×10 м, отдых 4 минуты, лучшая идёт в дневник.
• Следи за правилом касания линии.
ЗАМИНКА 5–8 МИН
• Ходьба 3–5 минут, пока пульс не успокоится
• Растяжка по 30 секунд: икры, бёдра, ягодицы, грудь</t>
        </is>
      </c>
      <c r="H57" s="18" t="n"/>
      <c r="I57" s="16" t="n"/>
    </row>
    <row r="58" ht="45" customHeight="1">
      <c r="A58" s="20" t="n">
        <v>8</v>
      </c>
      <c r="B58" s="21">
        <f>'Расчёт'!$B$11+53</f>
        <v/>
      </c>
      <c r="C58" s="20">
        <f>TEXT(B58,"ddd")</f>
        <v/>
      </c>
      <c r="D58" s="20" t="inlineStr">
        <is>
          <t>Контроль</t>
        </is>
      </c>
      <c r="E58" s="20" t="inlineStr">
        <is>
          <t>отдых</t>
        </is>
      </c>
      <c r="F58" s="20" t="inlineStr">
        <is>
          <t>Отдых</t>
        </is>
      </c>
      <c r="G58" s="20" t="inlineStr">
        <is>
          <t>ЧТО ДЕЛАТЬ
• Отдых, сон 7–8 часов</t>
        </is>
      </c>
      <c r="H58" s="18" t="n"/>
      <c r="I58" s="16" t="n"/>
    </row>
    <row r="59" ht="45" customHeight="1">
      <c r="A59" s="20" t="n">
        <v>8</v>
      </c>
      <c r="B59" s="21">
        <f>'Расчёт'!$B$11+54</f>
        <v/>
      </c>
      <c r="C59" s="20">
        <f>TEXT(B59,"ddd")</f>
        <v/>
      </c>
      <c r="D59" s="20" t="inlineStr">
        <is>
          <t>Контроль</t>
        </is>
      </c>
      <c r="E59" s="20" t="inlineStr">
        <is>
          <t>по желанию</t>
        </is>
      </c>
      <c r="F59" s="20" t="inlineStr">
        <is>
          <t>Необязательно: лёгкая прогулка-бег</t>
        </is>
      </c>
      <c r="G59" s="20" t="inlineStr">
        <is>
          <t>ЧТО ДЕЛАТЬ
• Ходьба 40 минут или лёгкий бег 20 минут</t>
        </is>
      </c>
      <c r="H59" s="18" t="n"/>
      <c r="I59" s="16" t="n"/>
    </row>
    <row r="60" ht="60" customHeight="1">
      <c r="A60" s="20" t="n">
        <v>8</v>
      </c>
      <c r="B60" s="21">
        <f>'Расчёт'!$B$11+55</f>
        <v/>
      </c>
      <c r="C60" s="20">
        <f>TEXT(B60,"ddd")</f>
        <v/>
      </c>
      <c r="D60" s="20" t="inlineStr">
        <is>
          <t>Контроль</t>
        </is>
      </c>
      <c r="E60" s="20" t="inlineStr">
        <is>
          <t>отдых</t>
        </is>
      </c>
      <c r="F60" s="20" t="inlineStr">
        <is>
          <t>Отдых</t>
        </is>
      </c>
      <c r="G60" s="20" t="inlineStr">
        <is>
          <t>ЧТО ДЕЛАТЬ
• Отдых
• Подведи итоги теста в дневнике</t>
        </is>
      </c>
      <c r="H60" s="18" t="n"/>
      <c r="I60" s="16" t="n"/>
    </row>
    <row r="61" ht="390" customHeight="1">
      <c r="A61" s="16" t="n">
        <v>9</v>
      </c>
      <c r="B61" s="17">
        <f>'Расчёт'!$B$11+56</f>
        <v/>
      </c>
      <c r="C61" s="16">
        <f>TEXT(B61,"ddd")</f>
        <v/>
      </c>
      <c r="D61" s="16" t="inlineStr">
        <is>
          <t>Пик</t>
        </is>
      </c>
      <c r="E61" s="16" t="inlineStr">
        <is>
          <t>бег</t>
        </is>
      </c>
      <c r="F61" s="16" t="inlineStr">
        <is>
          <t>Сессия А: интервальный бег + подтягивания + кор</t>
        </is>
      </c>
      <c r="G61" s="16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ИНТЕРВАЛЫ: 5×400 М
• Каждый отрезок за 1:51 (примерно)
• Отдых между отрезками: 2 мин, ходьба
• Цель недели по темпу 1 км: 4:46
• Если не получается держать время, уменьши число повторов, а не темп
ПОДТЯГИВАНИЯ
• 5×4 строгих повторов, отдых 2 минуты (не до отказа)
• Негативные: 3×4 с опусканием 4–5 секунд (если максимум 8+, делай подтягивания с паузой 2 с вверху)
• Австралийские подтягивания: 3×8–12
КОР (КУБИКИ)
• Планка 3×75 с
• Подъём коленей/ног в висе 3×6–10
• Мёртвый жук 3×8 на сторону
ЗАМИНКА 5–8 МИН
• Ходьба 3–5 минут, пока пульс не успокоится
• Растяжка по 30 секунд: икры, бёдра, ягодицы, грудь
КАЖДЫЙ ДЕНЬ, 5 МИНУТ (НЕ ОТДЕЛЬНАЯ ТРЕНИРОВКА)
• Подтягивания 3 раза, 2–3 подхода в разное время дня, не до утомления
• Ходьба: цель 8–10 тысяч шагов
• Вода 2–2,5 литра и сон 7–8 часов</t>
        </is>
      </c>
      <c r="H61" s="18" t="n"/>
      <c r="I61" s="16" t="n"/>
    </row>
    <row r="62" ht="75" customHeight="1">
      <c r="A62" s="16" t="n">
        <v>9</v>
      </c>
      <c r="B62" s="17">
        <f>'Расчёт'!$B$11+57</f>
        <v/>
      </c>
      <c r="C62" s="16">
        <f>TEXT(B62,"ddd")</f>
        <v/>
      </c>
      <c r="D62" s="16" t="inlineStr">
        <is>
          <t>Пик</t>
        </is>
      </c>
      <c r="E62" s="16" t="inlineStr">
        <is>
          <t>отдых</t>
        </is>
      </c>
      <c r="F62" s="16" t="inlineStr">
        <is>
          <t>Лёгкий день</t>
        </is>
      </c>
      <c r="G62" s="16" t="inlineStr">
        <is>
          <t>КАЖДЫЙ ДЕНЬ, 5 МИНУТ (НЕ ОТДЕЛЬНАЯ ТРЕНИРОВКА)
• Подтягивания 3 раза, 2–3 подхода в разное время дня, не до утомления
• Ходьба: цель 8–10 тысяч шагов
• Вода 2–2,5 литра и сон 7–8 часов</t>
        </is>
      </c>
      <c r="H62" s="18" t="n"/>
      <c r="I62" s="16" t="n"/>
    </row>
    <row r="63" ht="75" customHeight="1">
      <c r="A63" s="16" t="n">
        <v>9</v>
      </c>
      <c r="B63" s="17">
        <f>'Расчёт'!$B$11+58</f>
        <v/>
      </c>
      <c r="C63" s="16">
        <f>TEXT(B63,"ddd")</f>
        <v/>
      </c>
      <c r="D63" s="16" t="inlineStr">
        <is>
          <t>Пик</t>
        </is>
      </c>
      <c r="E63" s="16" t="inlineStr">
        <is>
          <t>отдых</t>
        </is>
      </c>
      <c r="F63" s="16" t="inlineStr">
        <is>
          <t>Лёгкий день</t>
        </is>
      </c>
      <c r="G63" s="16" t="inlineStr">
        <is>
          <t>КАЖДЫЙ ДЕНЬ, 5 МИНУТ (НЕ ОТДЕЛЬНАЯ ТРЕНИРОВКА)
• Подтягивания 3 раза, 2–3 подхода в разное время дня, не до утомления
• Ходьба: цель 8–10 тысяч шагов
• Вода 2–2,5 литра и сон 7–8 часов</t>
        </is>
      </c>
      <c r="H63" s="18" t="n"/>
      <c r="I63" s="16" t="n"/>
    </row>
    <row r="64" ht="420" customHeight="1">
      <c r="A64" s="16" t="n">
        <v>9</v>
      </c>
      <c r="B64" s="17">
        <f>'Расчёт'!$B$11+59</f>
        <v/>
      </c>
      <c r="C64" s="16">
        <f>TEXT(B64,"ddd")</f>
        <v/>
      </c>
      <c r="D64" s="16" t="inlineStr">
        <is>
          <t>Пик</t>
        </is>
      </c>
      <c r="E64" s="16" t="inlineStr">
        <is>
          <t>челнок</t>
        </is>
      </c>
      <c r="F64" s="16" t="inlineStr">
        <is>
          <t>Сессия Б: челночный + ноги + подтягивания</t>
        </is>
      </c>
      <c r="G64" s="16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ЧЕЛНОЧНЫЙ БЕГ
• Техника разворота на 5 м: 6 раз
• 5×10×10 м, из них 2 быстрых (цель 26.6 с), отдых 3 минуты, ходьба
• Остальные на 85% скорости
НОГИ И ЯГОДИЦЫ (КОЛЕНИ БЕРЕГУ)
• Присед до скамьи 4×12, с w≥5 с рюкзаком
• Подъём на скамью 3×8 на ногу
• Румынская тяга с рюкзаком 3×10–12
• Ягодичный мостик 3×15
• Подъём на носки 3×15–20
ПОДТЯГИВАНИЯ: ЛЕСТНИЦЫ
• 4 лестницы 1-2-…-3 с отдыхом 2 минуты
ОТЖИМАНИЯ И КОР
• Отжимания 3×(максимум − 2)
• Скручивания 3×15
ЗАМИНКА 5–8 МИН
• Ходьба 3–5 минут, пока пульс не успокоится
• Растяжка по 30 секунд: икры, бёдра, ягодицы, грудь
КАЖДЫЙ ДЕНЬ, 5 МИНУТ (НЕ ОТДЕЛЬНАЯ ТРЕНИРОВКА)
• Подтягивания 3 раза, 2–3 подхода в разное время дня, не до утомления
• Ходьба: цель 8–10 тысяч шагов
• Вода 2–2,5 литра и сон 7–8 часов</t>
        </is>
      </c>
      <c r="H64" s="18" t="n"/>
      <c r="I64" s="16" t="n"/>
    </row>
    <row r="65" ht="75" customHeight="1">
      <c r="A65" s="16" t="n">
        <v>9</v>
      </c>
      <c r="B65" s="17">
        <f>'Расчёт'!$B$11+60</f>
        <v/>
      </c>
      <c r="C65" s="16">
        <f>TEXT(B65,"ddd")</f>
        <v/>
      </c>
      <c r="D65" s="16" t="inlineStr">
        <is>
          <t>Пик</t>
        </is>
      </c>
      <c r="E65" s="16" t="inlineStr">
        <is>
          <t>отдых</t>
        </is>
      </c>
      <c r="F65" s="16" t="inlineStr">
        <is>
          <t>Лёгкий день</t>
        </is>
      </c>
      <c r="G65" s="16" t="inlineStr">
        <is>
          <t>КАЖДЫЙ ДЕНЬ, 5 МИНУТ (НЕ ОТДЕЛЬНАЯ ТРЕНИРОВКА)
• Подтягивания 3 раза, 2–3 подхода в разное время дня, не до утомления
• Ходьба: цель 8–10 тысяч шагов
• Вода 2–2,5 литра и сон 7–8 часов</t>
        </is>
      </c>
      <c r="H65" s="18" t="n"/>
      <c r="I65" s="16" t="n"/>
    </row>
    <row r="66" ht="60" customHeight="1">
      <c r="A66" s="16" t="n">
        <v>9</v>
      </c>
      <c r="B66" s="17">
        <f>'Расчёт'!$B$11+61</f>
        <v/>
      </c>
      <c r="C66" s="16">
        <f>TEXT(B66,"ddd")</f>
        <v/>
      </c>
      <c r="D66" s="16" t="inlineStr">
        <is>
          <t>Пик</t>
        </is>
      </c>
      <c r="E66" s="16" t="inlineStr">
        <is>
          <t>по желанию</t>
        </is>
      </c>
      <c r="F66" s="16" t="inlineStr">
        <is>
          <t>Необязательно: лёгкий бег</t>
        </is>
      </c>
      <c r="G66" s="16" t="inlineStr">
        <is>
          <t>ЧТО ДЕЛАТЬ
• Лёгкий бег 35 мин в разговорном темпе
• Если колени болят, замени на ходьбу 40 минут</t>
        </is>
      </c>
      <c r="H66" s="18" t="n"/>
      <c r="I66" s="16" t="n"/>
    </row>
    <row r="67" ht="60" customHeight="1">
      <c r="A67" s="16" t="n">
        <v>9</v>
      </c>
      <c r="B67" s="17">
        <f>'Расчёт'!$B$11+62</f>
        <v/>
      </c>
      <c r="C67" s="16">
        <f>TEXT(B67,"ddd")</f>
        <v/>
      </c>
      <c r="D67" s="16" t="inlineStr">
        <is>
          <t>Пик</t>
        </is>
      </c>
      <c r="E67" s="16" t="inlineStr">
        <is>
          <t>отдых</t>
        </is>
      </c>
      <c r="F67" s="16" t="inlineStr">
        <is>
          <t>Отдых</t>
        </is>
      </c>
      <c r="G67" s="16" t="inlineStr">
        <is>
          <t>ЧТО ДЕЛАТЬ
• Прогулка 30 минут
• Подготовь еду на неделю</t>
        </is>
      </c>
      <c r="H67" s="18" t="n"/>
      <c r="I67" s="16" t="n"/>
    </row>
    <row r="68" ht="390" customHeight="1">
      <c r="A68" s="20" t="n">
        <v>10</v>
      </c>
      <c r="B68" s="21">
        <f>'Расчёт'!$B$11+63</f>
        <v/>
      </c>
      <c r="C68" s="20">
        <f>TEXT(B68,"ddd")</f>
        <v/>
      </c>
      <c r="D68" s="20" t="inlineStr">
        <is>
          <t>Пик</t>
        </is>
      </c>
      <c r="E68" s="20" t="inlineStr">
        <is>
          <t>бег</t>
        </is>
      </c>
      <c r="F68" s="20" t="inlineStr">
        <is>
          <t>Сессия А: интервальный бег + подтягивания + кор</t>
        </is>
      </c>
      <c r="G68" s="20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ИНТЕРВАЛЫ: 4×600 М
• Каждый отрезок за 2:49 (примерно)
• Отдых между отрезками: 2:30, ходьба
• Цель недели по темпу 1 км: 4:44
• Если не получается держать время, уменьши число повторов, а не темп
ПОДТЯГИВАНИЯ
• 6×5 строгих повторов, отдых 2 минуты (не до отказа)
• Негативные: 3×4 с опусканием 4–5 секунд (если максимум 8+, делай подтягивания с паузой 2 с вверху)
• Австралийские подтягивания: 3×8–12
КОР (КУБИКИ)
• Планка 3×80 с
• Подъём коленей/ног в висе 3×6–10
• Мёртвый жук 3×8 на сторону
ЗАМИНКА 5–8 МИН
• Ходьба 3–5 минут, пока пульс не успокоится
• Растяжка по 30 секунд: икры, бёдра, ягодицы, грудь
КАЖДЫЙ ДЕНЬ, 5 МИНУТ (НЕ ОТДЕЛЬНАЯ ТРЕНИРОВКА)
• Подтягивания 3 раза, 2–3 подхода в разное время дня, не до утомления
• Ходьба: цель 8–10 тысяч шагов
• Вода 2–2,5 литра и сон 7–8 часов</t>
        </is>
      </c>
      <c r="H68" s="18" t="n"/>
      <c r="I68" s="16" t="n"/>
    </row>
    <row r="69" ht="75" customHeight="1">
      <c r="A69" s="20" t="n">
        <v>10</v>
      </c>
      <c r="B69" s="21">
        <f>'Расчёт'!$B$11+64</f>
        <v/>
      </c>
      <c r="C69" s="20">
        <f>TEXT(B69,"ddd")</f>
        <v/>
      </c>
      <c r="D69" s="20" t="inlineStr">
        <is>
          <t>Пик</t>
        </is>
      </c>
      <c r="E69" s="20" t="inlineStr">
        <is>
          <t>отдых</t>
        </is>
      </c>
      <c r="F69" s="20" t="inlineStr">
        <is>
          <t>Лёгкий день</t>
        </is>
      </c>
      <c r="G69" s="20" t="inlineStr">
        <is>
          <t>КАЖДЫЙ ДЕНЬ, 5 МИНУТ (НЕ ОТДЕЛЬНАЯ ТРЕНИРОВКА)
• Подтягивания 3 раза, 2–3 подхода в разное время дня, не до утомления
• Ходьба: цель 8–10 тысяч шагов
• Вода 2–2,5 литра и сон 7–8 часов</t>
        </is>
      </c>
      <c r="H69" s="18" t="n"/>
      <c r="I69" s="16" t="n"/>
    </row>
    <row r="70" ht="75" customHeight="1">
      <c r="A70" s="20" t="n">
        <v>10</v>
      </c>
      <c r="B70" s="21">
        <f>'Расчёт'!$B$11+65</f>
        <v/>
      </c>
      <c r="C70" s="20">
        <f>TEXT(B70,"ddd")</f>
        <v/>
      </c>
      <c r="D70" s="20" t="inlineStr">
        <is>
          <t>Пик</t>
        </is>
      </c>
      <c r="E70" s="20" t="inlineStr">
        <is>
          <t>отдых</t>
        </is>
      </c>
      <c r="F70" s="20" t="inlineStr">
        <is>
          <t>Лёгкий день</t>
        </is>
      </c>
      <c r="G70" s="20" t="inlineStr">
        <is>
          <t>КАЖДЫЙ ДЕНЬ, 5 МИНУТ (НЕ ОТДЕЛЬНАЯ ТРЕНИРОВКА)
• Подтягивания 3 раза, 2–3 подхода в разное время дня, не до утомления
• Ходьба: цель 8–10 тысяч шагов
• Вода 2–2,5 литра и сон 7–8 часов</t>
        </is>
      </c>
      <c r="H70" s="18" t="n"/>
      <c r="I70" s="16" t="n"/>
    </row>
    <row r="71" ht="420" customHeight="1">
      <c r="A71" s="20" t="n">
        <v>10</v>
      </c>
      <c r="B71" s="21">
        <f>'Расчёт'!$B$11+66</f>
        <v/>
      </c>
      <c r="C71" s="20">
        <f>TEXT(B71,"ddd")</f>
        <v/>
      </c>
      <c r="D71" s="20" t="inlineStr">
        <is>
          <t>Пик</t>
        </is>
      </c>
      <c r="E71" s="20" t="inlineStr">
        <is>
          <t>челнок</t>
        </is>
      </c>
      <c r="F71" s="20" t="inlineStr">
        <is>
          <t>Сессия Б: челночный + ноги + подтягивания</t>
        </is>
      </c>
      <c r="G71" s="20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ЧЕЛНОЧНЫЙ БЕГ
• Техника разворота на 5 м: 6 раз
• 6×10×10 м, из них 3 быстрых (цель 26.5 с), отдых 3 минуты, ходьба
• Остальные на 85% скорости
НОГИ И ЯГОДИЦЫ (КОЛЕНИ БЕРЕГУ)
• Присед до скамьи 4×12, с w≥5 с рюкзаком
• Подъём на скамью 3×8 на ногу
• Румынская тяга с рюкзаком 3×10–12
• Ягодичный мостик 3×15
• Подъём на носки 3×15–20
ПОДТЯГИВАНИЯ: ЛЕСТНИЦЫ
• 4 лестницы 1-2-…-3 с отдыхом 2 минуты
ОТЖИМАНИЯ И КОР
• Отжимания 3×(максимум − 2)
• Скручивания 3×15
ЗАМИНКА 5–8 МИН
• Ходьба 3–5 минут, пока пульс не успокоится
• Растяжка по 30 секунд: икры, бёдра, ягодицы, грудь
КАЖДЫЙ ДЕНЬ, 5 МИНУТ (НЕ ОТДЕЛЬНАЯ ТРЕНИРОВКА)
• Подтягивания 3 раза, 2–3 подхода в разное время дня, не до утомления
• Ходьба: цель 8–10 тысяч шагов
• Вода 2–2,5 литра и сон 7–8 часов</t>
        </is>
      </c>
      <c r="H71" s="18" t="n"/>
      <c r="I71" s="16" t="n"/>
    </row>
    <row r="72" ht="75" customHeight="1">
      <c r="A72" s="20" t="n">
        <v>10</v>
      </c>
      <c r="B72" s="21">
        <f>'Расчёт'!$B$11+67</f>
        <v/>
      </c>
      <c r="C72" s="20">
        <f>TEXT(B72,"ddd")</f>
        <v/>
      </c>
      <c r="D72" s="20" t="inlineStr">
        <is>
          <t>Пик</t>
        </is>
      </c>
      <c r="E72" s="20" t="inlineStr">
        <is>
          <t>отдых</t>
        </is>
      </c>
      <c r="F72" s="20" t="inlineStr">
        <is>
          <t>Лёгкий день</t>
        </is>
      </c>
      <c r="G72" s="20" t="inlineStr">
        <is>
          <t>КАЖДЫЙ ДЕНЬ, 5 МИНУТ (НЕ ОТДЕЛЬНАЯ ТРЕНИРОВКА)
• Подтягивания 3 раза, 2–3 подхода в разное время дня, не до утомления
• Ходьба: цель 8–10 тысяч шагов
• Вода 2–2,5 литра и сон 7–8 часов</t>
        </is>
      </c>
      <c r="H72" s="18" t="n"/>
      <c r="I72" s="16" t="n"/>
    </row>
    <row r="73" ht="60" customHeight="1">
      <c r="A73" s="20" t="n">
        <v>10</v>
      </c>
      <c r="B73" s="21">
        <f>'Расчёт'!$B$11+68</f>
        <v/>
      </c>
      <c r="C73" s="20">
        <f>TEXT(B73,"ddd")</f>
        <v/>
      </c>
      <c r="D73" s="20" t="inlineStr">
        <is>
          <t>Пик</t>
        </is>
      </c>
      <c r="E73" s="20" t="inlineStr">
        <is>
          <t>по желанию</t>
        </is>
      </c>
      <c r="F73" s="20" t="inlineStr">
        <is>
          <t>Необязательно: лёгкий бег</t>
        </is>
      </c>
      <c r="G73" s="20" t="inlineStr">
        <is>
          <t>ЧТО ДЕЛАТЬ
• Лёгкий бег 35 мин в разговорном темпе
• Если колени болят, замени на ходьбу 40 минут</t>
        </is>
      </c>
      <c r="H73" s="18" t="n"/>
      <c r="I73" s="16" t="n"/>
    </row>
    <row r="74" ht="60" customHeight="1">
      <c r="A74" s="20" t="n">
        <v>10</v>
      </c>
      <c r="B74" s="21">
        <f>'Расчёт'!$B$11+69</f>
        <v/>
      </c>
      <c r="C74" s="20">
        <f>TEXT(B74,"ddd")</f>
        <v/>
      </c>
      <c r="D74" s="20" t="inlineStr">
        <is>
          <t>Пик</t>
        </is>
      </c>
      <c r="E74" s="20" t="inlineStr">
        <is>
          <t>отдых</t>
        </is>
      </c>
      <c r="F74" s="20" t="inlineStr">
        <is>
          <t>Отдых</t>
        </is>
      </c>
      <c r="G74" s="20" t="inlineStr">
        <is>
          <t>ЧТО ДЕЛАТЬ
• Прогулка 30 минут
• Подготовь еду на неделю</t>
        </is>
      </c>
      <c r="H74" s="18" t="n"/>
      <c r="I74" s="16" t="n"/>
    </row>
    <row r="75" ht="390" customHeight="1">
      <c r="A75" s="16" t="n">
        <v>11</v>
      </c>
      <c r="B75" s="17">
        <f>'Расчёт'!$B$11+70</f>
        <v/>
      </c>
      <c r="C75" s="16">
        <f>TEXT(B75,"ddd")</f>
        <v/>
      </c>
      <c r="D75" s="16" t="inlineStr">
        <is>
          <t>Пик</t>
        </is>
      </c>
      <c r="E75" s="16" t="inlineStr">
        <is>
          <t>бег</t>
        </is>
      </c>
      <c r="F75" s="16" t="inlineStr">
        <is>
          <t>Сессия А: интервальный бег + подтягивания + кор</t>
        </is>
      </c>
      <c r="G75" s="16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ИНТЕРВАЛЫ: 3×800 М
• Каждый отрезок за 3:45 (примерно)
• Отдых между отрезками: 3 мин, ходьба
• Цель недели по темпу 1 км: 4:42
• Если не получается держать время, уменьши число повторов, а не темп
ПОДТЯГИВАНИЯ
• 6×6 строгих повторов, отдых 2 минуты (не до отказа)
• Негативные: 3×4 с опусканием 4–5 секунд (если максимум 8+, делай подтягивания с паузой 2 с вверху)
• Австралийские подтягивания: 3×8–12
КОР (КУБИКИ)
• Планка 3×85 с
• Подъём коленей/ног в висе 3×6–10
• Мёртвый жук 3×8 на сторону
ЗАМИНКА 5–8 МИН
• Ходьба 3–5 минут, пока пульс не успокоится
• Растяжка по 30 секунд: икры, бёдра, ягодицы, грудь
КАЖДЫЙ ДЕНЬ, 5 МИНУТ (НЕ ОТДЕЛЬНАЯ ТРЕНИРОВКА)
• Подтягивания 3 раза, 2–3 подхода в разное время дня, не до утомления
• Ходьба: цель 8–10 тысяч шагов
• Вода 2–2,5 литра и сон 7–8 часов</t>
        </is>
      </c>
      <c r="H75" s="18" t="n"/>
      <c r="I75" s="16" t="n"/>
    </row>
    <row r="76" ht="75" customHeight="1">
      <c r="A76" s="16" t="n">
        <v>11</v>
      </c>
      <c r="B76" s="17">
        <f>'Расчёт'!$B$11+71</f>
        <v/>
      </c>
      <c r="C76" s="16">
        <f>TEXT(B76,"ddd")</f>
        <v/>
      </c>
      <c r="D76" s="16" t="inlineStr">
        <is>
          <t>Пик</t>
        </is>
      </c>
      <c r="E76" s="16" t="inlineStr">
        <is>
          <t>отдых</t>
        </is>
      </c>
      <c r="F76" s="16" t="inlineStr">
        <is>
          <t>Лёгкий день</t>
        </is>
      </c>
      <c r="G76" s="16" t="inlineStr">
        <is>
          <t>КАЖДЫЙ ДЕНЬ, 5 МИНУТ (НЕ ОТДЕЛЬНАЯ ТРЕНИРОВКА)
• Подтягивания 3 раза, 2–3 подхода в разное время дня, не до утомления
• Ходьба: цель 8–10 тысяч шагов
• Вода 2–2,5 литра и сон 7–8 часов</t>
        </is>
      </c>
      <c r="H76" s="18" t="n"/>
      <c r="I76" s="16" t="n"/>
    </row>
    <row r="77" ht="75" customHeight="1">
      <c r="A77" s="16" t="n">
        <v>11</v>
      </c>
      <c r="B77" s="17">
        <f>'Расчёт'!$B$11+72</f>
        <v/>
      </c>
      <c r="C77" s="16">
        <f>TEXT(B77,"ddd")</f>
        <v/>
      </c>
      <c r="D77" s="16" t="inlineStr">
        <is>
          <t>Пик</t>
        </is>
      </c>
      <c r="E77" s="16" t="inlineStr">
        <is>
          <t>отдых</t>
        </is>
      </c>
      <c r="F77" s="16" t="inlineStr">
        <is>
          <t>Лёгкий день</t>
        </is>
      </c>
      <c r="G77" s="16" t="inlineStr">
        <is>
          <t>КАЖДЫЙ ДЕНЬ, 5 МИНУТ (НЕ ОТДЕЛЬНАЯ ТРЕНИРОВКА)
• Подтягивания 3 раза, 2–3 подхода в разное время дня, не до утомления
• Ходьба: цель 8–10 тысяч шагов
• Вода 2–2,5 литра и сон 7–8 часов</t>
        </is>
      </c>
      <c r="H77" s="18" t="n"/>
      <c r="I77" s="16" t="n"/>
    </row>
    <row r="78" ht="420" customHeight="1">
      <c r="A78" s="16" t="n">
        <v>11</v>
      </c>
      <c r="B78" s="17">
        <f>'Расчёт'!$B$11+73</f>
        <v/>
      </c>
      <c r="C78" s="16">
        <f>TEXT(B78,"ddd")</f>
        <v/>
      </c>
      <c r="D78" s="16" t="inlineStr">
        <is>
          <t>Пик</t>
        </is>
      </c>
      <c r="E78" s="16" t="inlineStr">
        <is>
          <t>челнок</t>
        </is>
      </c>
      <c r="F78" s="16" t="inlineStr">
        <is>
          <t>Сессия Б: челночный + ноги + подтягивания</t>
        </is>
      </c>
      <c r="G78" s="16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ЧЕЛНОЧНЫЙ БЕГ
• Техника разворота на 5 м: 6 раз
• 4×10×10 м, из них 2 быстрых (цель 26.4 с), отдых 3 минуты, ходьба
• Остальные на 85% скорости
НОГИ И ЯГОДИЦЫ (КОЛЕНИ БЕРЕГУ)
• Присед до скамьи 4×12, с w≥5 с рюкзаком
• Подъём на скамью 3×8 на ногу
• Румынская тяга с рюкзаком 3×10–12
• Ягодичный мостик 3×15
• Подъём на носки 3×15–20
ПОДТЯГИВАНИЯ: ЛЕСТНИЦЫ
• 4 лестницы 1-2-…-3 с отдыхом 2 минуты
ОТЖИМАНИЯ И КОР
• Отжимания 3×(максимум − 2)
• Скручивания 3×15
ЗАМИНКА 5–8 МИН
• Ходьба 3–5 минут, пока пульс не успокоится
• Растяжка по 30 секунд: икры, бёдра, ягодицы, грудь
КАЖДЫЙ ДЕНЬ, 5 МИНУТ (НЕ ОТДЕЛЬНАЯ ТРЕНИРОВКА)
• Подтягивания 3 раза, 2–3 подхода в разное время дня, не до утомления
• Ходьба: цель 8–10 тысяч шагов
• Вода 2–2,5 литра и сон 7–8 часов</t>
        </is>
      </c>
      <c r="H78" s="18" t="n"/>
      <c r="I78" s="16" t="n"/>
    </row>
    <row r="79" ht="75" customHeight="1">
      <c r="A79" s="16" t="n">
        <v>11</v>
      </c>
      <c r="B79" s="17">
        <f>'Расчёт'!$B$11+74</f>
        <v/>
      </c>
      <c r="C79" s="16">
        <f>TEXT(B79,"ddd")</f>
        <v/>
      </c>
      <c r="D79" s="16" t="inlineStr">
        <is>
          <t>Пик</t>
        </is>
      </c>
      <c r="E79" s="16" t="inlineStr">
        <is>
          <t>отдых</t>
        </is>
      </c>
      <c r="F79" s="16" t="inlineStr">
        <is>
          <t>Лёгкий день</t>
        </is>
      </c>
      <c r="G79" s="16" t="inlineStr">
        <is>
          <t>КАЖДЫЙ ДЕНЬ, 5 МИНУТ (НЕ ОТДЕЛЬНАЯ ТРЕНИРОВКА)
• Подтягивания 3 раза, 2–3 подхода в разное время дня, не до утомления
• Ходьба: цель 8–10 тысяч шагов
• Вода 2–2,5 литра и сон 7–8 часов</t>
        </is>
      </c>
      <c r="H79" s="18" t="n"/>
      <c r="I79" s="16" t="n"/>
    </row>
    <row r="80" ht="60" customHeight="1">
      <c r="A80" s="16" t="n">
        <v>11</v>
      </c>
      <c r="B80" s="17">
        <f>'Расчёт'!$B$11+75</f>
        <v/>
      </c>
      <c r="C80" s="16">
        <f>TEXT(B80,"ddd")</f>
        <v/>
      </c>
      <c r="D80" s="16" t="inlineStr">
        <is>
          <t>Пик</t>
        </is>
      </c>
      <c r="E80" s="16" t="inlineStr">
        <is>
          <t>по желанию</t>
        </is>
      </c>
      <c r="F80" s="16" t="inlineStr">
        <is>
          <t>Необязательно: лёгкий бег</t>
        </is>
      </c>
      <c r="G80" s="16" t="inlineStr">
        <is>
          <t>ЧТО ДЕЛАТЬ
• Лёгкий бег 40 мин в разговорном темпе
• Если колени болят, замени на ходьбу 40 минут</t>
        </is>
      </c>
      <c r="H80" s="18" t="n"/>
      <c r="I80" s="16" t="n"/>
    </row>
    <row r="81" ht="60" customHeight="1">
      <c r="A81" s="16" t="n">
        <v>11</v>
      </c>
      <c r="B81" s="17">
        <f>'Расчёт'!$B$11+76</f>
        <v/>
      </c>
      <c r="C81" s="16">
        <f>TEXT(B81,"ddd")</f>
        <v/>
      </c>
      <c r="D81" s="16" t="inlineStr">
        <is>
          <t>Пик</t>
        </is>
      </c>
      <c r="E81" s="16" t="inlineStr">
        <is>
          <t>отдых</t>
        </is>
      </c>
      <c r="F81" s="16" t="inlineStr">
        <is>
          <t>Отдых</t>
        </is>
      </c>
      <c r="G81" s="16" t="inlineStr">
        <is>
          <t>ЧТО ДЕЛАТЬ
• Прогулка 30 минут
• Подготовь еду на неделю</t>
        </is>
      </c>
      <c r="H81" s="18" t="n"/>
      <c r="I81" s="16" t="n"/>
    </row>
    <row r="82" ht="180" customHeight="1">
      <c r="A82" s="20" t="n">
        <v>12</v>
      </c>
      <c r="B82" s="21">
        <f>'Расчёт'!$B$11+77</f>
        <v/>
      </c>
      <c r="C82" s="20">
        <f>TEXT(B82,"ddd")</f>
        <v/>
      </c>
      <c r="D82" s="20" t="inlineStr">
        <is>
          <t>Контроль</t>
        </is>
      </c>
      <c r="E82" s="20" t="inlineStr">
        <is>
          <t>контроль</t>
        </is>
      </c>
      <c r="F82" s="20" t="inlineStr">
        <is>
          <t>Контроль: 1 км</t>
        </is>
      </c>
      <c r="G82" s="20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ТЕСТ
• Один забег на 1 км на максимум. Равномерный темп, финиш с ускорением.
• Запиши время в дневник.
ЗАМИНКА 5–8 МИН
• Ходьба 3–5 минут, пока пульс не успокоится
• Растяжка по 30 секунд: икры, бёдра, ягодицы, грудь</t>
        </is>
      </c>
      <c r="H82" s="18" t="n"/>
      <c r="I82" s="16" t="n"/>
    </row>
    <row r="83" ht="180" customHeight="1">
      <c r="A83" s="20" t="n">
        <v>12</v>
      </c>
      <c r="B83" s="21">
        <f>'Расчёт'!$B$11+78</f>
        <v/>
      </c>
      <c r="C83" s="20">
        <f>TEXT(B83,"ddd")</f>
        <v/>
      </c>
      <c r="D83" s="20" t="inlineStr">
        <is>
          <t>Контроль</t>
        </is>
      </c>
      <c r="E83" s="20" t="inlineStr">
        <is>
          <t>контроль</t>
        </is>
      </c>
      <c r="F83" s="20" t="inlineStr">
        <is>
          <t>Контроль: подтягивания</t>
        </is>
      </c>
      <c r="G83" s="20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ТЕСТ
• Один подход максимума, строго: руки выпрямлены внизу, подбородок над перекладиной.
• Затем лёгкая сила: отжимания 2×(максимум − 4), планка 2×40 с
ЗАМИНКА 5–8 МИН
• Ходьба 3–5 минут, пока пульс не успокоится
• Растяжка по 30 секунд: икры, бёдра, ягодицы, грудь</t>
        </is>
      </c>
      <c r="H83" s="18" t="n"/>
      <c r="I83" s="16" t="n"/>
    </row>
    <row r="84" ht="60" customHeight="1">
      <c r="A84" s="20" t="n">
        <v>12</v>
      </c>
      <c r="B84" s="21">
        <f>'Расчёт'!$B$11+79</f>
        <v/>
      </c>
      <c r="C84" s="20">
        <f>TEXT(B84,"ddd")</f>
        <v/>
      </c>
      <c r="D84" s="20" t="inlineStr">
        <is>
          <t>Контроль</t>
        </is>
      </c>
      <c r="E84" s="20" t="inlineStr">
        <is>
          <t>отдых</t>
        </is>
      </c>
      <c r="F84" s="20" t="inlineStr">
        <is>
          <t>Восстановление</t>
        </is>
      </c>
      <c r="G84" s="20" t="inlineStr">
        <is>
          <t>ЧТО ДЕЛАТЬ
• Быстрая ходьба 40 минут
• Мобильность и растяжка</t>
        </is>
      </c>
      <c r="H84" s="18" t="n"/>
      <c r="I84" s="16" t="n"/>
    </row>
    <row r="85" ht="180" customHeight="1">
      <c r="A85" s="20" t="n">
        <v>12</v>
      </c>
      <c r="B85" s="21">
        <f>'Расчёт'!$B$11+80</f>
        <v/>
      </c>
      <c r="C85" s="20">
        <f>TEXT(B85,"ddd")</f>
        <v/>
      </c>
      <c r="D85" s="20" t="inlineStr">
        <is>
          <t>Контроль</t>
        </is>
      </c>
      <c r="E85" s="20" t="inlineStr">
        <is>
          <t>контроль</t>
        </is>
      </c>
      <c r="F85" s="20" t="inlineStr">
        <is>
          <t>Контроль: челночный 10×10</t>
        </is>
      </c>
      <c r="G85" s="20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ТЕСТ
• 3 попытки по 10×10 м, отдых 4 минуты, лучшая идёт в дневник.
• Следи за правилом касания линии.
ЗАМИНКА 5–8 МИН
• Ходьба 3–5 минут, пока пульс не успокоится
• Растяжка по 30 секунд: икры, бёдра, ягодицы, грудь</t>
        </is>
      </c>
      <c r="H85" s="18" t="n"/>
      <c r="I85" s="16" t="n"/>
    </row>
    <row r="86" ht="45" customHeight="1">
      <c r="A86" s="20" t="n">
        <v>12</v>
      </c>
      <c r="B86" s="21">
        <f>'Расчёт'!$B$11+81</f>
        <v/>
      </c>
      <c r="C86" s="20">
        <f>TEXT(B86,"ddd")</f>
        <v/>
      </c>
      <c r="D86" s="20" t="inlineStr">
        <is>
          <t>Контроль</t>
        </is>
      </c>
      <c r="E86" s="20" t="inlineStr">
        <is>
          <t>отдых</t>
        </is>
      </c>
      <c r="F86" s="20" t="inlineStr">
        <is>
          <t>Отдых</t>
        </is>
      </c>
      <c r="G86" s="20" t="inlineStr">
        <is>
          <t>ЧТО ДЕЛАТЬ
• Отдых, сон 7–8 часов</t>
        </is>
      </c>
      <c r="H86" s="18" t="n"/>
      <c r="I86" s="16" t="n"/>
    </row>
    <row r="87" ht="45" customHeight="1">
      <c r="A87" s="20" t="n">
        <v>12</v>
      </c>
      <c r="B87" s="21">
        <f>'Расчёт'!$B$11+82</f>
        <v/>
      </c>
      <c r="C87" s="20">
        <f>TEXT(B87,"ddd")</f>
        <v/>
      </c>
      <c r="D87" s="20" t="inlineStr">
        <is>
          <t>Контроль</t>
        </is>
      </c>
      <c r="E87" s="20" t="inlineStr">
        <is>
          <t>по желанию</t>
        </is>
      </c>
      <c r="F87" s="20" t="inlineStr">
        <is>
          <t>Необязательно: лёгкая прогулка-бег</t>
        </is>
      </c>
      <c r="G87" s="20" t="inlineStr">
        <is>
          <t>ЧТО ДЕЛАТЬ
• Ходьба 40 минут или лёгкий бег 20 минут</t>
        </is>
      </c>
      <c r="H87" s="18" t="n"/>
      <c r="I87" s="16" t="n"/>
    </row>
    <row r="88" ht="60" customHeight="1">
      <c r="A88" s="20" t="n">
        <v>12</v>
      </c>
      <c r="B88" s="21">
        <f>'Расчёт'!$B$11+83</f>
        <v/>
      </c>
      <c r="C88" s="20">
        <f>TEXT(B88,"ddd")</f>
        <v/>
      </c>
      <c r="D88" s="20" t="inlineStr">
        <is>
          <t>Контроль</t>
        </is>
      </c>
      <c r="E88" s="20" t="inlineStr">
        <is>
          <t>отдых</t>
        </is>
      </c>
      <c r="F88" s="20" t="inlineStr">
        <is>
          <t>Отдых</t>
        </is>
      </c>
      <c r="G88" s="20" t="inlineStr">
        <is>
          <t>ЧТО ДЕЛАТЬ
• Отдых
• Подведи итоги теста в дневнике</t>
        </is>
      </c>
      <c r="H88" s="18" t="n"/>
      <c r="I88" s="16" t="n"/>
    </row>
    <row r="89" ht="390" customHeight="1">
      <c r="A89" s="16" t="n">
        <v>13</v>
      </c>
      <c r="B89" s="17">
        <f>'Расчёт'!$B$11+84</f>
        <v/>
      </c>
      <c r="C89" s="16">
        <f>TEXT(B89,"ddd")</f>
        <v/>
      </c>
      <c r="D89" s="16" t="inlineStr">
        <is>
          <t>Продление</t>
        </is>
      </c>
      <c r="E89" s="16" t="inlineStr">
        <is>
          <t>бег</t>
        </is>
      </c>
      <c r="F89" s="16" t="inlineStr">
        <is>
          <t>Сессия А: интервальный бег + подтягивания + кор</t>
        </is>
      </c>
      <c r="G89" s="16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ИНТЕРВАЛЫ: 6×400 М
• Каждый отрезок за 1:47 (примерно)
• Отдых между отрезками: 90 с, ходьба
• Цель недели по темпу 1 км: 4:37
• Если не получается держать время, уменьши число повторов, а не темп
ПОДТЯГИВАНИЯ
• 5×5 строгих повторов, отдых 2 минуты (не до отказа)
• Негативные: 3×4 с опусканием 4–5 секунд (если максимум 8+, делай подтягивания с паузой 2 с вверху)
• Австралийские подтягивания: 3×8–12
КОР (КУБИКИ)
• Планка 3×90 с
• Подъём коленей/ног в висе 3×6–10
• Мёртвый жук 3×8 на сторону
ЗАМИНКА 5–8 МИН
• Ходьба 3–5 минут, пока пульс не успокоится
• Растяжка по 30 секунд: икры, бёдра, ягодицы, грудь
КАЖДЫЙ ДЕНЬ, 5 МИНУТ (НЕ ОТДЕЛЬНАЯ ТРЕНИРОВКА)
• Подтягивания 4 раза, 2–3 подхода в разное время дня, не до утомления
• Ходьба: цель 8–10 тысяч шагов
• Вода 2–2,5 литра и сон 7–8 часов</t>
        </is>
      </c>
      <c r="H89" s="18" t="n"/>
      <c r="I89" s="16" t="n"/>
    </row>
    <row r="90" ht="75" customHeight="1">
      <c r="A90" s="16" t="n">
        <v>13</v>
      </c>
      <c r="B90" s="17">
        <f>'Расчёт'!$B$11+85</f>
        <v/>
      </c>
      <c r="C90" s="16">
        <f>TEXT(B90,"ddd")</f>
        <v/>
      </c>
      <c r="D90" s="16" t="inlineStr">
        <is>
          <t>Продление</t>
        </is>
      </c>
      <c r="E90" s="16" t="inlineStr">
        <is>
          <t>отдых</t>
        </is>
      </c>
      <c r="F90" s="16" t="inlineStr">
        <is>
          <t>Лёгкий день</t>
        </is>
      </c>
      <c r="G90" s="16" t="inlineStr">
        <is>
          <t>КАЖДЫЙ ДЕНЬ, 5 МИНУТ (НЕ ОТДЕЛЬНАЯ ТРЕНИРОВКА)
• Подтягивания 4 раза, 2–3 подхода в разное время дня, не до утомления
• Ходьба: цель 8–10 тысяч шагов
• Вода 2–2,5 литра и сон 7–8 часов</t>
        </is>
      </c>
      <c r="H90" s="18" t="n"/>
      <c r="I90" s="16" t="n"/>
    </row>
    <row r="91" ht="75" customHeight="1">
      <c r="A91" s="16" t="n">
        <v>13</v>
      </c>
      <c r="B91" s="17">
        <f>'Расчёт'!$B$11+86</f>
        <v/>
      </c>
      <c r="C91" s="16">
        <f>TEXT(B91,"ddd")</f>
        <v/>
      </c>
      <c r="D91" s="16" t="inlineStr">
        <is>
          <t>Продление</t>
        </is>
      </c>
      <c r="E91" s="16" t="inlineStr">
        <is>
          <t>отдых</t>
        </is>
      </c>
      <c r="F91" s="16" t="inlineStr">
        <is>
          <t>Лёгкий день</t>
        </is>
      </c>
      <c r="G91" s="16" t="inlineStr">
        <is>
          <t>КАЖДЫЙ ДЕНЬ, 5 МИНУТ (НЕ ОТДЕЛЬНАЯ ТРЕНИРОВКА)
• Подтягивания 4 раза, 2–3 подхода в разное время дня, не до утомления
• Ходьба: цель 8–10 тысяч шагов
• Вода 2–2,5 литра и сон 7–8 часов</t>
        </is>
      </c>
      <c r="H91" s="18" t="n"/>
      <c r="I91" s="16" t="n"/>
    </row>
    <row r="92" ht="420" customHeight="1">
      <c r="A92" s="16" t="n">
        <v>13</v>
      </c>
      <c r="B92" s="17">
        <f>'Расчёт'!$B$11+87</f>
        <v/>
      </c>
      <c r="C92" s="16">
        <f>TEXT(B92,"ddd")</f>
        <v/>
      </c>
      <c r="D92" s="16" t="inlineStr">
        <is>
          <t>Продление</t>
        </is>
      </c>
      <c r="E92" s="16" t="inlineStr">
        <is>
          <t>челнок</t>
        </is>
      </c>
      <c r="F92" s="16" t="inlineStr">
        <is>
          <t>Сессия Б: челночный + ноги + подтягивания</t>
        </is>
      </c>
      <c r="G92" s="16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ЧЕЛНОЧНЫЙ БЕГ
• Техника разворота на 5 м: 6 раз
• 5×10×10 м, из них 2 быстрых (цель 26.1 с), отдых 3 минуты, ходьба
• Остальные на 85% скорости
НОГИ И ЯГОДИЦЫ (КОЛЕНИ БЕРЕГУ)
• Присед до скамьи 4×12, с w≥5 с рюкзаком
• Подъём на скамью 3×8 на ногу
• Румынская тяга с рюкзаком 3×10–12
• Ягодичный мостик 3×15
• Подъём на носки 3×15–20
ПОДТЯГИВАНИЯ: ЛЕСТНИЦЫ
• 4 лестницы 1-2-…-4 с отдыхом 2 минуты
ОТЖИМАНИЯ И КОР
• Отжимания 3×(максимум − 2)
• Скручивания 3×15
ЗАМИНКА 5–8 МИН
• Ходьба 3–5 минут, пока пульс не успокоится
• Растяжка по 30 секунд: икры, бёдра, ягодицы, грудь
КАЖДЫЙ ДЕНЬ, 5 МИНУТ (НЕ ОТДЕЛЬНАЯ ТРЕНИРОВКА)
• Подтягивания 4 раза, 2–3 подхода в разное время дня, не до утомления
• Ходьба: цель 8–10 тысяч шагов
• Вода 2–2,5 литра и сон 7–8 часов</t>
        </is>
      </c>
      <c r="H92" s="18" t="n"/>
      <c r="I92" s="16" t="n"/>
    </row>
    <row r="93" ht="75" customHeight="1">
      <c r="A93" s="16" t="n">
        <v>13</v>
      </c>
      <c r="B93" s="17">
        <f>'Расчёт'!$B$11+88</f>
        <v/>
      </c>
      <c r="C93" s="16">
        <f>TEXT(B93,"ddd")</f>
        <v/>
      </c>
      <c r="D93" s="16" t="inlineStr">
        <is>
          <t>Продление</t>
        </is>
      </c>
      <c r="E93" s="16" t="inlineStr">
        <is>
          <t>отдых</t>
        </is>
      </c>
      <c r="F93" s="16" t="inlineStr">
        <is>
          <t>Лёгкий день</t>
        </is>
      </c>
      <c r="G93" s="16" t="inlineStr">
        <is>
          <t>КАЖДЫЙ ДЕНЬ, 5 МИНУТ (НЕ ОТДЕЛЬНАЯ ТРЕНИРОВКА)
• Подтягивания 4 раза, 2–3 подхода в разное время дня, не до утомления
• Ходьба: цель 8–10 тысяч шагов
• Вода 2–2,5 литра и сон 7–8 часов</t>
        </is>
      </c>
      <c r="H93" s="18" t="n"/>
      <c r="I93" s="16" t="n"/>
    </row>
    <row r="94" ht="60" customHeight="1">
      <c r="A94" s="16" t="n">
        <v>13</v>
      </c>
      <c r="B94" s="17">
        <f>'Расчёт'!$B$11+89</f>
        <v/>
      </c>
      <c r="C94" s="16">
        <f>TEXT(B94,"ddd")</f>
        <v/>
      </c>
      <c r="D94" s="16" t="inlineStr">
        <is>
          <t>Продление</t>
        </is>
      </c>
      <c r="E94" s="16" t="inlineStr">
        <is>
          <t>по желанию</t>
        </is>
      </c>
      <c r="F94" s="16" t="inlineStr">
        <is>
          <t>Необязательно: лёгкий бег</t>
        </is>
      </c>
      <c r="G94" s="16" t="inlineStr">
        <is>
          <t>ЧТО ДЕЛАТЬ
• Лёгкий бег 40 мин в разговорном темпе
• Если колени болят, замени на ходьбу 40 минут</t>
        </is>
      </c>
      <c r="H94" s="18" t="n"/>
      <c r="I94" s="16" t="n"/>
    </row>
    <row r="95" ht="60" customHeight="1">
      <c r="A95" s="16" t="n">
        <v>13</v>
      </c>
      <c r="B95" s="17">
        <f>'Расчёт'!$B$11+90</f>
        <v/>
      </c>
      <c r="C95" s="16">
        <f>TEXT(B95,"ddd")</f>
        <v/>
      </c>
      <c r="D95" s="16" t="inlineStr">
        <is>
          <t>Продление</t>
        </is>
      </c>
      <c r="E95" s="16" t="inlineStr">
        <is>
          <t>отдых</t>
        </is>
      </c>
      <c r="F95" s="16" t="inlineStr">
        <is>
          <t>Отдых</t>
        </is>
      </c>
      <c r="G95" s="16" t="inlineStr">
        <is>
          <t>ЧТО ДЕЛАТЬ
• Прогулка 30 минут
• Подготовь еду на неделю</t>
        </is>
      </c>
      <c r="H95" s="18" t="n"/>
      <c r="I95" s="16" t="n"/>
    </row>
    <row r="96" ht="390" customHeight="1">
      <c r="A96" s="20" t="n">
        <v>14</v>
      </c>
      <c r="B96" s="21">
        <f>'Расчёт'!$B$11+91</f>
        <v/>
      </c>
      <c r="C96" s="20">
        <f>TEXT(B96,"ddd")</f>
        <v/>
      </c>
      <c r="D96" s="20" t="inlineStr">
        <is>
          <t>Продление</t>
        </is>
      </c>
      <c r="E96" s="20" t="inlineStr">
        <is>
          <t>бег</t>
        </is>
      </c>
      <c r="F96" s="20" t="inlineStr">
        <is>
          <t>Сессия А: интервальный бег + подтягивания + кор</t>
        </is>
      </c>
      <c r="G96" s="20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ИНТЕРВАЛЫ: 4×600 М
• Каждый отрезок за 2:43 (примерно)
• Отдых между отрезками: 2 мин, ходьба
• Цель недели по темпу 1 км: 4:34
• Если не получается держать время, уменьши число повторов, а не темп
ПОДТЯГИВАНИЯ
• 6×6 строгих повторов, отдых 2 минуты (не до отказа)
• Негативные: 3×4 с опусканием 4–5 секунд (если максимум 8+, делай подтягивания с паузой 2 с вверху)
• Австралийские подтягивания: 3×8–12
КОР (КУБИКИ)
• Планка 3×90 с
• Подъём коленей/ног в висе 3×6–10
• Мёртвый жук 3×8 на сторону
ЗАМИНКА 5–8 МИН
• Ходьба 3–5 минут, пока пульс не успокоится
• Растяжка по 30 секунд: икры, бёдра, ягодицы, грудь
КАЖДЫЙ ДЕНЬ, 5 МИНУТ (НЕ ОТДЕЛЬНАЯ ТРЕНИРОВКА)
• Подтягивания 4 раза, 2–3 подхода в разное время дня, не до утомления
• Ходьба: цель 8–10 тысяч шагов
• Вода 2–2,5 литра и сон 7–8 часов</t>
        </is>
      </c>
      <c r="H96" s="18" t="n"/>
      <c r="I96" s="16" t="n"/>
    </row>
    <row r="97" ht="75" customHeight="1">
      <c r="A97" s="20" t="n">
        <v>14</v>
      </c>
      <c r="B97" s="21">
        <f>'Расчёт'!$B$11+92</f>
        <v/>
      </c>
      <c r="C97" s="20">
        <f>TEXT(B97,"ddd")</f>
        <v/>
      </c>
      <c r="D97" s="20" t="inlineStr">
        <is>
          <t>Продление</t>
        </is>
      </c>
      <c r="E97" s="20" t="inlineStr">
        <is>
          <t>отдых</t>
        </is>
      </c>
      <c r="F97" s="20" t="inlineStr">
        <is>
          <t>Лёгкий день</t>
        </is>
      </c>
      <c r="G97" s="20" t="inlineStr">
        <is>
          <t>КАЖДЫЙ ДЕНЬ, 5 МИНУТ (НЕ ОТДЕЛЬНАЯ ТРЕНИРОВКА)
• Подтягивания 4 раза, 2–3 подхода в разное время дня, не до утомления
• Ходьба: цель 8–10 тысяч шагов
• Вода 2–2,5 литра и сон 7–8 часов</t>
        </is>
      </c>
      <c r="H97" s="18" t="n"/>
      <c r="I97" s="16" t="n"/>
    </row>
    <row r="98" ht="75" customHeight="1">
      <c r="A98" s="20" t="n">
        <v>14</v>
      </c>
      <c r="B98" s="21">
        <f>'Расчёт'!$B$11+93</f>
        <v/>
      </c>
      <c r="C98" s="20">
        <f>TEXT(B98,"ddd")</f>
        <v/>
      </c>
      <c r="D98" s="20" t="inlineStr">
        <is>
          <t>Продление</t>
        </is>
      </c>
      <c r="E98" s="20" t="inlineStr">
        <is>
          <t>отдых</t>
        </is>
      </c>
      <c r="F98" s="20" t="inlineStr">
        <is>
          <t>Лёгкий день</t>
        </is>
      </c>
      <c r="G98" s="20" t="inlineStr">
        <is>
          <t>КАЖДЫЙ ДЕНЬ, 5 МИНУТ (НЕ ОТДЕЛЬНАЯ ТРЕНИРОВКА)
• Подтягивания 4 раза, 2–3 подхода в разное время дня, не до утомления
• Ходьба: цель 8–10 тысяч шагов
• Вода 2–2,5 литра и сон 7–8 часов</t>
        </is>
      </c>
      <c r="H98" s="18" t="n"/>
      <c r="I98" s="16" t="n"/>
    </row>
    <row r="99" ht="420" customHeight="1">
      <c r="A99" s="20" t="n">
        <v>14</v>
      </c>
      <c r="B99" s="21">
        <f>'Расчёт'!$B$11+94</f>
        <v/>
      </c>
      <c r="C99" s="20">
        <f>TEXT(B99,"ddd")</f>
        <v/>
      </c>
      <c r="D99" s="20" t="inlineStr">
        <is>
          <t>Продление</t>
        </is>
      </c>
      <c r="E99" s="20" t="inlineStr">
        <is>
          <t>челнок</t>
        </is>
      </c>
      <c r="F99" s="20" t="inlineStr">
        <is>
          <t>Сессия Б: челночный + ноги + подтягивания</t>
        </is>
      </c>
      <c r="G99" s="20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ЧЕЛНОЧНЫЙ БЕГ
• Техника разворота на 5 м: 6 раз
• 6×10×10 м, из них 3 быстрых (цель 25.9 с), отдых 3 минуты, ходьба
• Остальные на 85% скорости
НОГИ И ЯГОДИЦЫ (КОЛЕНИ БЕРЕГУ)
• Присед до скамьи 4×12, с w≥5 с рюкзаком
• Подъём на скамью 3×8 на ногу
• Румынская тяга с рюкзаком 3×10–12
• Ягодичный мостик 3×15
• Подъём на носки 3×15–20
ПОДТЯГИВАНИЯ: ЛЕСТНИЦЫ
• 4 лестницы 1-2-…-4 с отдыхом 2 минуты
ОТЖИМАНИЯ И КОР
• Отжимания 3×(максимум − 2)
• Скручивания 3×15
ЗАМИНКА 5–8 МИН
• Ходьба 3–5 минут, пока пульс не успокоится
• Растяжка по 30 секунд: икры, бёдра, ягодицы, грудь
КАЖДЫЙ ДЕНЬ, 5 МИНУТ (НЕ ОТДЕЛЬНАЯ ТРЕНИРОВКА)
• Подтягивания 4 раза, 2–3 подхода в разное время дня, не до утомления
• Ходьба: цель 8–10 тысяч шагов
• Вода 2–2,5 литра и сон 7–8 часов</t>
        </is>
      </c>
      <c r="H99" s="18" t="n"/>
      <c r="I99" s="16" t="n"/>
    </row>
    <row r="100" ht="75" customHeight="1">
      <c r="A100" s="20" t="n">
        <v>14</v>
      </c>
      <c r="B100" s="21">
        <f>'Расчёт'!$B$11+95</f>
        <v/>
      </c>
      <c r="C100" s="20">
        <f>TEXT(B100,"ddd")</f>
        <v/>
      </c>
      <c r="D100" s="20" t="inlineStr">
        <is>
          <t>Продление</t>
        </is>
      </c>
      <c r="E100" s="20" t="inlineStr">
        <is>
          <t>отдых</t>
        </is>
      </c>
      <c r="F100" s="20" t="inlineStr">
        <is>
          <t>Лёгкий день</t>
        </is>
      </c>
      <c r="G100" s="20" t="inlineStr">
        <is>
          <t>КАЖДЫЙ ДЕНЬ, 5 МИНУТ (НЕ ОТДЕЛЬНАЯ ТРЕНИРОВКА)
• Подтягивания 4 раза, 2–3 подхода в разное время дня, не до утомления
• Ходьба: цель 8–10 тысяч шагов
• Вода 2–2,5 литра и сон 7–8 часов</t>
        </is>
      </c>
      <c r="H100" s="18" t="n"/>
      <c r="I100" s="16" t="n"/>
    </row>
    <row r="101" ht="60" customHeight="1">
      <c r="A101" s="20" t="n">
        <v>14</v>
      </c>
      <c r="B101" s="21">
        <f>'Расчёт'!$B$11+96</f>
        <v/>
      </c>
      <c r="C101" s="20">
        <f>TEXT(B101,"ddd")</f>
        <v/>
      </c>
      <c r="D101" s="20" t="inlineStr">
        <is>
          <t>Продление</t>
        </is>
      </c>
      <c r="E101" s="20" t="inlineStr">
        <is>
          <t>по желанию</t>
        </is>
      </c>
      <c r="F101" s="20" t="inlineStr">
        <is>
          <t>Необязательно: лёгкий бег</t>
        </is>
      </c>
      <c r="G101" s="20" t="inlineStr">
        <is>
          <t>ЧТО ДЕЛАТЬ
• Лёгкий бег 40 мин в разговорном темпе
• Если колени болят, замени на ходьбу 40 минут</t>
        </is>
      </c>
      <c r="H101" s="18" t="n"/>
      <c r="I101" s="16" t="n"/>
    </row>
    <row r="102" ht="60" customHeight="1">
      <c r="A102" s="20" t="n">
        <v>14</v>
      </c>
      <c r="B102" s="21">
        <f>'Расчёт'!$B$11+97</f>
        <v/>
      </c>
      <c r="C102" s="20">
        <f>TEXT(B102,"ddd")</f>
        <v/>
      </c>
      <c r="D102" s="20" t="inlineStr">
        <is>
          <t>Продление</t>
        </is>
      </c>
      <c r="E102" s="20" t="inlineStr">
        <is>
          <t>отдых</t>
        </is>
      </c>
      <c r="F102" s="20" t="inlineStr">
        <is>
          <t>Отдых</t>
        </is>
      </c>
      <c r="G102" s="20" t="inlineStr">
        <is>
          <t>ЧТО ДЕЛАТЬ
• Прогулка 30 минут
• Подготовь еду на неделю</t>
        </is>
      </c>
      <c r="H102" s="18" t="n"/>
      <c r="I102" s="16" t="n"/>
    </row>
    <row r="103" ht="375" customHeight="1">
      <c r="A103" s="16" t="n">
        <v>15</v>
      </c>
      <c r="B103" s="17">
        <f>'Расчёт'!$B$11+98</f>
        <v/>
      </c>
      <c r="C103" s="16">
        <f>TEXT(B103,"ddd")</f>
        <v/>
      </c>
      <c r="D103" s="16" t="inlineStr">
        <is>
          <t>Продление</t>
        </is>
      </c>
      <c r="E103" s="16" t="inlineStr">
        <is>
          <t>бег</t>
        </is>
      </c>
      <c r="F103" s="16" t="inlineStr">
        <is>
          <t>Сессия А: интервальный бег + подтягивания + кор</t>
        </is>
      </c>
      <c r="G103" s="16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ИНТЕРВАЛЫ (ПИРАМИДА)
• Пробеги 600 м (2:42), 400 м (1:46), 300 м (1:18), 200 м (0:51)
• Между отрезками ходьба 2 минуты
• Цель недели по темпу 1 км: 4:32
ПОДТЯГИВАНИЯ
• 6×7 строгих повторов, отдых 2 минуты (не до отказа)
• Негативные: 3×4 с опусканием 4–5 секунд (если максимум 8+, делай подтягивания с паузой 2 с вверху)
• Австралийские подтягивания: 3×8–12
КОР (КУБИКИ)
• Планка 3×90 с
• Подъём коленей/ног в висе 3×6–10
• Мёртвый жук 3×8 на сторону
ЗАМИНКА 5–8 МИН
• Ходьба 3–5 минут, пока пульс не успокоится
• Растяжка по 30 секунд: икры, бёдра, ягодицы, грудь
КАЖДЫЙ ДЕНЬ, 5 МИНУТ (НЕ ОТДЕЛЬНАЯ ТРЕНИРОВКА)
• Подтягивания 4 раза, 2–3 подхода в разное время дня, не до утомления
• Ходьба: цель 8–10 тысяч шагов
• Вода 2–2,5 литра и сон 7–8 часов</t>
        </is>
      </c>
      <c r="H103" s="18" t="n"/>
      <c r="I103" s="16" t="n"/>
    </row>
    <row r="104" ht="75" customHeight="1">
      <c r="A104" s="16" t="n">
        <v>15</v>
      </c>
      <c r="B104" s="17">
        <f>'Расчёт'!$B$11+99</f>
        <v/>
      </c>
      <c r="C104" s="16">
        <f>TEXT(B104,"ddd")</f>
        <v/>
      </c>
      <c r="D104" s="16" t="inlineStr">
        <is>
          <t>Продление</t>
        </is>
      </c>
      <c r="E104" s="16" t="inlineStr">
        <is>
          <t>отдых</t>
        </is>
      </c>
      <c r="F104" s="16" t="inlineStr">
        <is>
          <t>Лёгкий день</t>
        </is>
      </c>
      <c r="G104" s="16" t="inlineStr">
        <is>
          <t>КАЖДЫЙ ДЕНЬ, 5 МИНУТ (НЕ ОТДЕЛЬНАЯ ТРЕНИРОВКА)
• Подтягивания 4 раза, 2–3 подхода в разное время дня, не до утомления
• Ходьба: цель 8–10 тысяч шагов
• Вода 2–2,5 литра и сон 7–8 часов</t>
        </is>
      </c>
      <c r="H104" s="18" t="n"/>
      <c r="I104" s="16" t="n"/>
    </row>
    <row r="105" ht="75" customHeight="1">
      <c r="A105" s="16" t="n">
        <v>15</v>
      </c>
      <c r="B105" s="17">
        <f>'Расчёт'!$B$11+100</f>
        <v/>
      </c>
      <c r="C105" s="16">
        <f>TEXT(B105,"ddd")</f>
        <v/>
      </c>
      <c r="D105" s="16" t="inlineStr">
        <is>
          <t>Продление</t>
        </is>
      </c>
      <c r="E105" s="16" t="inlineStr">
        <is>
          <t>отдых</t>
        </is>
      </c>
      <c r="F105" s="16" t="inlineStr">
        <is>
          <t>Лёгкий день</t>
        </is>
      </c>
      <c r="G105" s="16" t="inlineStr">
        <is>
          <t>КАЖДЫЙ ДЕНЬ, 5 МИНУТ (НЕ ОТДЕЛЬНАЯ ТРЕНИРОВКА)
• Подтягивания 4 раза, 2–3 подхода в разное время дня, не до утомления
• Ходьба: цель 8–10 тысяч шагов
• Вода 2–2,5 литра и сон 7–8 часов</t>
        </is>
      </c>
      <c r="H105" s="18" t="n"/>
      <c r="I105" s="16" t="n"/>
    </row>
    <row r="106" ht="420" customHeight="1">
      <c r="A106" s="16" t="n">
        <v>15</v>
      </c>
      <c r="B106" s="17">
        <f>'Расчёт'!$B$11+101</f>
        <v/>
      </c>
      <c r="C106" s="16">
        <f>TEXT(B106,"ddd")</f>
        <v/>
      </c>
      <c r="D106" s="16" t="inlineStr">
        <is>
          <t>Продление</t>
        </is>
      </c>
      <c r="E106" s="16" t="inlineStr">
        <is>
          <t>челнок</t>
        </is>
      </c>
      <c r="F106" s="16" t="inlineStr">
        <is>
          <t>Сессия Б: челночный + ноги + подтягивания</t>
        </is>
      </c>
      <c r="G106" s="16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ЧЕЛНОЧНЫЙ БЕГ
• Техника разворота на 5 м: 6 раз
• 4×10×10 м, из них 2 быстрых (цель 25.8 с), отдых 3 минуты, ходьба
• Остальные на 85% скорости
НОГИ И ЯГОДИЦЫ (КОЛЕНИ БЕРЕГУ)
• Присед до скамьи 4×12, с w≥5 с рюкзаком
• Подъём на скамью 3×8 на ногу
• Румынская тяга с рюкзаком 3×10–12
• Ягодичный мостик 3×15
• Подъём на носки 3×15–20
ПОДТЯГИВАНИЯ: ЛЕСТНИЦЫ
• 4 лестницы 1-2-…-4 с отдыхом 2 минуты
ОТЖИМАНИЯ И КОР
• Отжимания 3×(максимум − 2)
• Скручивания 3×15
ЗАМИНКА 5–8 МИН
• Ходьба 3–5 минут, пока пульс не успокоится
• Растяжка по 30 секунд: икры, бёдра, ягодицы, грудь
КАЖДЫЙ ДЕНЬ, 5 МИНУТ (НЕ ОТДЕЛЬНАЯ ТРЕНИРОВКА)
• Подтягивания 4 раза, 2–3 подхода в разное время дня, не до утомления
• Ходьба: цель 8–10 тысяч шагов
• Вода 2–2,5 литра и сон 7–8 часов</t>
        </is>
      </c>
      <c r="H106" s="18" t="n"/>
      <c r="I106" s="16" t="n"/>
    </row>
    <row r="107" ht="75" customHeight="1">
      <c r="A107" s="16" t="n">
        <v>15</v>
      </c>
      <c r="B107" s="17">
        <f>'Расчёт'!$B$11+102</f>
        <v/>
      </c>
      <c r="C107" s="16">
        <f>TEXT(B107,"ddd")</f>
        <v/>
      </c>
      <c r="D107" s="16" t="inlineStr">
        <is>
          <t>Продление</t>
        </is>
      </c>
      <c r="E107" s="16" t="inlineStr">
        <is>
          <t>отдых</t>
        </is>
      </c>
      <c r="F107" s="16" t="inlineStr">
        <is>
          <t>Лёгкий день</t>
        </is>
      </c>
      <c r="G107" s="16" t="inlineStr">
        <is>
          <t>КАЖДЫЙ ДЕНЬ, 5 МИНУТ (НЕ ОТДЕЛЬНАЯ ТРЕНИРОВКА)
• Подтягивания 4 раза, 2–3 подхода в разное время дня, не до утомления
• Ходьба: цель 8–10 тысяч шагов
• Вода 2–2,5 литра и сон 7–8 часов</t>
        </is>
      </c>
      <c r="H107" s="18" t="n"/>
      <c r="I107" s="16" t="n"/>
    </row>
    <row r="108" ht="60" customHeight="1">
      <c r="A108" s="16" t="n">
        <v>15</v>
      </c>
      <c r="B108" s="17">
        <f>'Расчёт'!$B$11+103</f>
        <v/>
      </c>
      <c r="C108" s="16">
        <f>TEXT(B108,"ddd")</f>
        <v/>
      </c>
      <c r="D108" s="16" t="inlineStr">
        <is>
          <t>Продление</t>
        </is>
      </c>
      <c r="E108" s="16" t="inlineStr">
        <is>
          <t>по желанию</t>
        </is>
      </c>
      <c r="F108" s="16" t="inlineStr">
        <is>
          <t>Необязательно: лёгкий бег</t>
        </is>
      </c>
      <c r="G108" s="16" t="inlineStr">
        <is>
          <t>ЧТО ДЕЛАТЬ
• Лёгкий бег 45 мин в разговорном темпе
• Если колени болят, замени на ходьбу 40 минут</t>
        </is>
      </c>
      <c r="H108" s="18" t="n"/>
      <c r="I108" s="16" t="n"/>
    </row>
    <row r="109" ht="60" customHeight="1">
      <c r="A109" s="16" t="n">
        <v>15</v>
      </c>
      <c r="B109" s="17">
        <f>'Расчёт'!$B$11+104</f>
        <v/>
      </c>
      <c r="C109" s="16">
        <f>TEXT(B109,"ddd")</f>
        <v/>
      </c>
      <c r="D109" s="16" t="inlineStr">
        <is>
          <t>Продление</t>
        </is>
      </c>
      <c r="E109" s="16" t="inlineStr">
        <is>
          <t>отдых</t>
        </is>
      </c>
      <c r="F109" s="16" t="inlineStr">
        <is>
          <t>Отдых</t>
        </is>
      </c>
      <c r="G109" s="16" t="inlineStr">
        <is>
          <t>ЧТО ДЕЛАТЬ
• Прогулка 30 минут
• Подготовь еду на неделю</t>
        </is>
      </c>
      <c r="H109" s="18" t="n"/>
      <c r="I109" s="16" t="n"/>
    </row>
    <row r="110" ht="180" customHeight="1">
      <c r="A110" s="20" t="n">
        <v>16</v>
      </c>
      <c r="B110" s="21">
        <f>'Расчёт'!$B$11+105</f>
        <v/>
      </c>
      <c r="C110" s="20">
        <f>TEXT(B110,"ddd")</f>
        <v/>
      </c>
      <c r="D110" s="20" t="inlineStr">
        <is>
          <t>Контроль</t>
        </is>
      </c>
      <c r="E110" s="20" t="inlineStr">
        <is>
          <t>контроль</t>
        </is>
      </c>
      <c r="F110" s="20" t="inlineStr">
        <is>
          <t>Контроль: 1 км</t>
        </is>
      </c>
      <c r="G110" s="20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ТЕСТ
• Один забег на 1 км на максимум. Равномерный темп, финиш с ускорением.
• Запиши время в дневник.
ЗАМИНКА 5–8 МИН
• Ходьба 3–5 минут, пока пульс не успокоится
• Растяжка по 30 секунд: икры, бёдра, ягодицы, грудь</t>
        </is>
      </c>
      <c r="H110" s="18" t="n"/>
      <c r="I110" s="16" t="n"/>
    </row>
    <row r="111" ht="180" customHeight="1">
      <c r="A111" s="20" t="n">
        <v>16</v>
      </c>
      <c r="B111" s="21">
        <f>'Расчёт'!$B$11+106</f>
        <v/>
      </c>
      <c r="C111" s="20">
        <f>TEXT(B111,"ddd")</f>
        <v/>
      </c>
      <c r="D111" s="20" t="inlineStr">
        <is>
          <t>Контроль</t>
        </is>
      </c>
      <c r="E111" s="20" t="inlineStr">
        <is>
          <t>контроль</t>
        </is>
      </c>
      <c r="F111" s="20" t="inlineStr">
        <is>
          <t>Контроль: подтягивания</t>
        </is>
      </c>
      <c r="G111" s="20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ТЕСТ
• Один подход максимума, строго: руки выпрямлены внизу, подбородок над перекладиной.
• Затем лёгкая сила: отжимания 2×(максимум − 4), планка 2×40 с
ЗАМИНКА 5–8 МИН
• Ходьба 3–5 минут, пока пульс не успокоится
• Растяжка по 30 секунд: икры, бёдра, ягодицы, грудь</t>
        </is>
      </c>
      <c r="H111" s="18" t="n"/>
      <c r="I111" s="16" t="n"/>
    </row>
    <row r="112" ht="60" customHeight="1">
      <c r="A112" s="20" t="n">
        <v>16</v>
      </c>
      <c r="B112" s="21">
        <f>'Расчёт'!$B$11+107</f>
        <v/>
      </c>
      <c r="C112" s="20">
        <f>TEXT(B112,"ddd")</f>
        <v/>
      </c>
      <c r="D112" s="20" t="inlineStr">
        <is>
          <t>Контроль</t>
        </is>
      </c>
      <c r="E112" s="20" t="inlineStr">
        <is>
          <t>отдых</t>
        </is>
      </c>
      <c r="F112" s="20" t="inlineStr">
        <is>
          <t>Восстановление</t>
        </is>
      </c>
      <c r="G112" s="20" t="inlineStr">
        <is>
          <t>ЧТО ДЕЛАТЬ
• Быстрая ходьба 40 минут
• Мобильность и растяжка</t>
        </is>
      </c>
      <c r="H112" s="18" t="n"/>
      <c r="I112" s="16" t="n"/>
    </row>
    <row r="113" ht="180" customHeight="1">
      <c r="A113" s="20" t="n">
        <v>16</v>
      </c>
      <c r="B113" s="21">
        <f>'Расчёт'!$B$11+108</f>
        <v/>
      </c>
      <c r="C113" s="20">
        <f>TEXT(B113,"ddd")</f>
        <v/>
      </c>
      <c r="D113" s="20" t="inlineStr">
        <is>
          <t>Контроль</t>
        </is>
      </c>
      <c r="E113" s="20" t="inlineStr">
        <is>
          <t>контроль</t>
        </is>
      </c>
      <c r="F113" s="20" t="inlineStr">
        <is>
          <t>Контроль: челночный 10×10</t>
        </is>
      </c>
      <c r="G113" s="20" t="inlineStr">
        <is>
          <t>РАЗМИНКА 8–10 МИН
• Ходьба и очень лёгкий бег 4–5 минут
• Круги: плечи, таз, колени, голеностоп по 10
• Выпады с поворотом и махи ногами по 8
• 3 ускорения по 40 м, без усилия
ТЕСТ
• 3 попытки по 10×10 м, отдых 4 минуты, лучшая идёт в дневник.
• Следи за правилом касания линии.
ЗАМИНКА 5–8 МИН
• Ходьба 3–5 минут, пока пульс не успокоится
• Растяжка по 30 секунд: икры, бёдра, ягодицы, грудь</t>
        </is>
      </c>
      <c r="H113" s="18" t="n"/>
      <c r="I113" s="16" t="n"/>
    </row>
    <row r="114" ht="45" customHeight="1">
      <c r="A114" s="20" t="n">
        <v>16</v>
      </c>
      <c r="B114" s="21">
        <f>'Расчёт'!$B$11+109</f>
        <v/>
      </c>
      <c r="C114" s="20">
        <f>TEXT(B114,"ddd")</f>
        <v/>
      </c>
      <c r="D114" s="20" t="inlineStr">
        <is>
          <t>Контроль</t>
        </is>
      </c>
      <c r="E114" s="20" t="inlineStr">
        <is>
          <t>отдых</t>
        </is>
      </c>
      <c r="F114" s="20" t="inlineStr">
        <is>
          <t>Отдых</t>
        </is>
      </c>
      <c r="G114" s="20" t="inlineStr">
        <is>
          <t>ЧТО ДЕЛАТЬ
• Отдых, сон 7–8 часов</t>
        </is>
      </c>
      <c r="H114" s="18" t="n"/>
      <c r="I114" s="16" t="n"/>
    </row>
    <row r="115" ht="45" customHeight="1">
      <c r="A115" s="20" t="n">
        <v>16</v>
      </c>
      <c r="B115" s="21">
        <f>'Расчёт'!$B$11+110</f>
        <v/>
      </c>
      <c r="C115" s="20">
        <f>TEXT(B115,"ddd")</f>
        <v/>
      </c>
      <c r="D115" s="20" t="inlineStr">
        <is>
          <t>Контроль</t>
        </is>
      </c>
      <c r="E115" s="20" t="inlineStr">
        <is>
          <t>по желанию</t>
        </is>
      </c>
      <c r="F115" s="20" t="inlineStr">
        <is>
          <t>Необязательно: лёгкая прогулка-бег</t>
        </is>
      </c>
      <c r="G115" s="20" t="inlineStr">
        <is>
          <t>ЧТО ДЕЛАТЬ
• Ходьба 40 минут или лёгкий бег 20 минут</t>
        </is>
      </c>
      <c r="H115" s="18" t="n"/>
      <c r="I115" s="16" t="n"/>
    </row>
    <row r="116" ht="60" customHeight="1">
      <c r="A116" s="20" t="n">
        <v>16</v>
      </c>
      <c r="B116" s="21">
        <f>'Расчёт'!$B$11+111</f>
        <v/>
      </c>
      <c r="C116" s="20">
        <f>TEXT(B116,"ddd")</f>
        <v/>
      </c>
      <c r="D116" s="20" t="inlineStr">
        <is>
          <t>Контроль</t>
        </is>
      </c>
      <c r="E116" s="20" t="inlineStr">
        <is>
          <t>отдых</t>
        </is>
      </c>
      <c r="F116" s="20" t="inlineStr">
        <is>
          <t>Отдых</t>
        </is>
      </c>
      <c r="G116" s="20" t="inlineStr">
        <is>
          <t>ЧТО ДЕЛАТЬ
• Отдых
• Подведи итоги теста в дневнике</t>
        </is>
      </c>
      <c r="H116" s="18" t="n"/>
      <c r="I116" s="16" t="n"/>
    </row>
  </sheetData>
  <conditionalFormatting sqref="A5:I116">
    <cfRule type="expression" priority="1" dxfId="0">
      <formula>$H5="✔"</formula>
    </cfRule>
  </conditionalFormatting>
  <dataValidations count="1">
    <dataValidation sqref="H5:H116" showDropDown="0" showInputMessage="0" showErrorMessage="0" allowBlank="1" type="list">
      <formula1>"✔,—"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D5DB0"/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18" customWidth="1" min="10" max="10"/>
    <col width="18" customWidth="1" min="11" max="11"/>
  </cols>
  <sheetData>
    <row r="1">
      <c r="A1" s="1" t="inlineStr">
        <is>
          <t>Целевые времена по неделям</t>
        </is>
      </c>
    </row>
    <row r="2">
      <c r="A2" s="2" t="inlineStr">
        <is>
          <t>Темп 1 км и время отрезков. Берётся из реалистичной траектории. Если на тесте ты быстрее или медленнее, ориентируйся на свой результат.</t>
        </is>
      </c>
    </row>
    <row r="4">
      <c r="A4" s="15" t="inlineStr">
        <is>
          <t>Нед.</t>
        </is>
      </c>
      <c r="B4" s="15" t="inlineStr">
        <is>
          <t>Темп 1 км</t>
        </is>
      </c>
      <c r="C4" s="15" t="inlineStr">
        <is>
          <t>100 м</t>
        </is>
      </c>
      <c r="D4" s="15" t="inlineStr">
        <is>
          <t>200 м</t>
        </is>
      </c>
      <c r="E4" s="15" t="inlineStr">
        <is>
          <t>300 м</t>
        </is>
      </c>
      <c r="F4" s="15" t="inlineStr">
        <is>
          <t>400 м</t>
        </is>
      </c>
      <c r="G4" s="15" t="inlineStr">
        <is>
          <t>600 м</t>
        </is>
      </c>
      <c r="H4" s="15" t="inlineStr">
        <is>
          <t>800 м</t>
        </is>
      </c>
      <c r="I4" s="15" t="inlineStr">
        <is>
          <t>10×10, с</t>
        </is>
      </c>
      <c r="J4" s="15" t="inlineStr">
        <is>
          <t>Подтяг. (ориентир)</t>
        </is>
      </c>
      <c r="K4" s="15" t="inlineStr">
        <is>
          <t>Вес, кг (ориентир)</t>
        </is>
      </c>
    </row>
    <row r="5">
      <c r="A5" s="22" t="n">
        <v>1</v>
      </c>
      <c r="B5" s="23" t="n">
        <v>0.003559027777777778</v>
      </c>
      <c r="C5" s="23">
        <f>$B5*0.1*0.93</f>
        <v/>
      </c>
      <c r="D5" s="23">
        <f>$B5*0.2*0.94</f>
        <v/>
      </c>
      <c r="E5" s="23">
        <f>$B5*0.3*0.96</f>
        <v/>
      </c>
      <c r="F5" s="23">
        <f>$B5*0.4*0.97</f>
        <v/>
      </c>
      <c r="G5" s="23">
        <f>$B5*0.6*0.99</f>
        <v/>
      </c>
      <c r="H5" s="23">
        <f>$B5*0.8*1.0</f>
        <v/>
      </c>
      <c r="I5" s="24" t="n">
        <v>27.88</v>
      </c>
      <c r="J5" s="22" t="n">
        <v>3.5</v>
      </c>
      <c r="K5" s="24">
        <f>'Расчёт'!$B$5-0.5</f>
        <v/>
      </c>
    </row>
    <row r="6">
      <c r="A6" s="22" t="n">
        <v>2</v>
      </c>
      <c r="B6" s="23" t="n">
        <v>0.003530092592592592</v>
      </c>
      <c r="C6" s="23">
        <f>$B6*0.1*0.93</f>
        <v/>
      </c>
      <c r="D6" s="23">
        <f>$B6*0.2*0.94</f>
        <v/>
      </c>
      <c r="E6" s="23">
        <f>$B6*0.3*0.96</f>
        <v/>
      </c>
      <c r="F6" s="23">
        <f>$B6*0.4*0.97</f>
        <v/>
      </c>
      <c r="G6" s="23">
        <f>$B6*0.6*0.99</f>
        <v/>
      </c>
      <c r="H6" s="23">
        <f>$B6*0.8*1.0</f>
        <v/>
      </c>
      <c r="I6" s="24" t="n">
        <v>27.75</v>
      </c>
      <c r="J6" s="22" t="n">
        <v>4</v>
      </c>
      <c r="K6" s="24">
        <f>'Расчёт'!$B$5-1.0</f>
        <v/>
      </c>
    </row>
    <row r="7">
      <c r="A7" s="22" t="n">
        <v>3</v>
      </c>
      <c r="B7" s="23" t="n">
        <v>0.003501157407407407</v>
      </c>
      <c r="C7" s="23">
        <f>$B7*0.1*0.93</f>
        <v/>
      </c>
      <c r="D7" s="23">
        <f>$B7*0.2*0.94</f>
        <v/>
      </c>
      <c r="E7" s="23">
        <f>$B7*0.3*0.96</f>
        <v/>
      </c>
      <c r="F7" s="23">
        <f>$B7*0.4*0.97</f>
        <v/>
      </c>
      <c r="G7" s="23">
        <f>$B7*0.6*0.99</f>
        <v/>
      </c>
      <c r="H7" s="23">
        <f>$B7*0.8*1.0</f>
        <v/>
      </c>
      <c r="I7" s="24" t="n">
        <v>27.62</v>
      </c>
      <c r="J7" s="22" t="n">
        <v>4.5</v>
      </c>
      <c r="K7" s="24">
        <f>'Расчёт'!$B$5-1.5</f>
        <v/>
      </c>
    </row>
    <row r="8">
      <c r="A8" s="25" t="n">
        <v>4</v>
      </c>
      <c r="B8" s="26" t="n">
        <v>0.003472222222222222</v>
      </c>
      <c r="C8" s="26">
        <f>$B8*0.1*0.93</f>
        <v/>
      </c>
      <c r="D8" s="26">
        <f>$B8*0.2*0.94</f>
        <v/>
      </c>
      <c r="E8" s="26">
        <f>$B8*0.3*0.96</f>
        <v/>
      </c>
      <c r="F8" s="26">
        <f>$B8*0.4*0.97</f>
        <v/>
      </c>
      <c r="G8" s="26">
        <f>$B8*0.6*0.99</f>
        <v/>
      </c>
      <c r="H8" s="26">
        <f>$B8*0.8*1.0</f>
        <v/>
      </c>
      <c r="I8" s="27" t="n">
        <v>27.5</v>
      </c>
      <c r="J8" s="25" t="n">
        <v>5</v>
      </c>
      <c r="K8" s="27">
        <f>'Расчёт'!$B$5-2.0</f>
        <v/>
      </c>
    </row>
    <row r="9">
      <c r="A9" s="22" t="n">
        <v>5</v>
      </c>
      <c r="B9" s="23" t="n">
        <v>0.003440393518518518</v>
      </c>
      <c r="C9" s="23">
        <f>$B9*0.1*0.93</f>
        <v/>
      </c>
      <c r="D9" s="23">
        <f>$B9*0.2*0.94</f>
        <v/>
      </c>
      <c r="E9" s="23">
        <f>$B9*0.3*0.96</f>
        <v/>
      </c>
      <c r="F9" s="23">
        <f>$B9*0.4*0.97</f>
        <v/>
      </c>
      <c r="G9" s="23">
        <f>$B9*0.6*0.99</f>
        <v/>
      </c>
      <c r="H9" s="23">
        <f>$B9*0.8*1.0</f>
        <v/>
      </c>
      <c r="I9" s="24" t="n">
        <v>27.32</v>
      </c>
      <c r="J9" s="22" t="n">
        <v>5.5</v>
      </c>
      <c r="K9" s="24">
        <f>'Расчёт'!$B$5-2.6200000000000045</f>
        <v/>
      </c>
    </row>
    <row r="10">
      <c r="A10" s="22" t="n">
        <v>6</v>
      </c>
      <c r="B10" s="23" t="n">
        <v>0.003408564814814815</v>
      </c>
      <c r="C10" s="23">
        <f>$B10*0.1*0.93</f>
        <v/>
      </c>
      <c r="D10" s="23">
        <f>$B10*0.2*0.94</f>
        <v/>
      </c>
      <c r="E10" s="23">
        <f>$B10*0.3*0.96</f>
        <v/>
      </c>
      <c r="F10" s="23">
        <f>$B10*0.4*0.97</f>
        <v/>
      </c>
      <c r="G10" s="23">
        <f>$B10*0.6*0.99</f>
        <v/>
      </c>
      <c r="H10" s="23">
        <f>$B10*0.8*1.0</f>
        <v/>
      </c>
      <c r="I10" s="24" t="n">
        <v>27.15</v>
      </c>
      <c r="J10" s="22" t="n">
        <v>6</v>
      </c>
      <c r="K10" s="24">
        <f>'Расчёт'!$B$5-3.25</f>
        <v/>
      </c>
    </row>
    <row r="11">
      <c r="A11" s="22" t="n">
        <v>7</v>
      </c>
      <c r="B11" s="23" t="n">
        <v>0.003376736111111111</v>
      </c>
      <c r="C11" s="23">
        <f>$B11*0.1*0.93</f>
        <v/>
      </c>
      <c r="D11" s="23">
        <f>$B11*0.2*0.94</f>
        <v/>
      </c>
      <c r="E11" s="23">
        <f>$B11*0.3*0.96</f>
        <v/>
      </c>
      <c r="F11" s="23">
        <f>$B11*0.4*0.97</f>
        <v/>
      </c>
      <c r="G11" s="23">
        <f>$B11*0.6*0.99</f>
        <v/>
      </c>
      <c r="H11" s="23">
        <f>$B11*0.8*1.0</f>
        <v/>
      </c>
      <c r="I11" s="24" t="n">
        <v>26.98</v>
      </c>
      <c r="J11" s="22" t="n">
        <v>6.5</v>
      </c>
      <c r="K11" s="24">
        <f>'Расчёт'!$B$5-3.8799999999999955</f>
        <v/>
      </c>
    </row>
    <row r="12">
      <c r="A12" s="25" t="n">
        <v>8</v>
      </c>
      <c r="B12" s="26" t="n">
        <v>0.003344907407407408</v>
      </c>
      <c r="C12" s="26">
        <f>$B12*0.1*0.93</f>
        <v/>
      </c>
      <c r="D12" s="26">
        <f>$B12*0.2*0.94</f>
        <v/>
      </c>
      <c r="E12" s="26">
        <f>$B12*0.3*0.96</f>
        <v/>
      </c>
      <c r="F12" s="26">
        <f>$B12*0.4*0.97</f>
        <v/>
      </c>
      <c r="G12" s="26">
        <f>$B12*0.6*0.99</f>
        <v/>
      </c>
      <c r="H12" s="26">
        <f>$B12*0.8*1.0</f>
        <v/>
      </c>
      <c r="I12" s="27" t="n">
        <v>26.8</v>
      </c>
      <c r="J12" s="25" t="n">
        <v>7</v>
      </c>
      <c r="K12" s="27">
        <f>'Расчёт'!$B$5-4.5</f>
        <v/>
      </c>
    </row>
    <row r="13">
      <c r="A13" s="22" t="n">
        <v>9</v>
      </c>
      <c r="B13" s="23" t="n">
        <v>0.003315972222222222</v>
      </c>
      <c r="C13" s="23">
        <f>$B13*0.1*0.93</f>
        <v/>
      </c>
      <c r="D13" s="23">
        <f>$B13*0.2*0.94</f>
        <v/>
      </c>
      <c r="E13" s="23">
        <f>$B13*0.3*0.96</f>
        <v/>
      </c>
      <c r="F13" s="23">
        <f>$B13*0.4*0.97</f>
        <v/>
      </c>
      <c r="G13" s="23">
        <f>$B13*0.6*0.99</f>
        <v/>
      </c>
      <c r="H13" s="23">
        <f>$B13*0.8*1.0</f>
        <v/>
      </c>
      <c r="I13" s="24" t="n">
        <v>26.65</v>
      </c>
      <c r="J13" s="22" t="n">
        <v>7.5</v>
      </c>
      <c r="K13" s="24">
        <f>'Расчёт'!$B$5-5.1200000000000045</f>
        <v/>
      </c>
    </row>
    <row r="14">
      <c r="A14" s="22" t="n">
        <v>10</v>
      </c>
      <c r="B14" s="23" t="n">
        <v>0.003287037037037037</v>
      </c>
      <c r="C14" s="23">
        <f>$B14*0.1*0.93</f>
        <v/>
      </c>
      <c r="D14" s="23">
        <f>$B14*0.2*0.94</f>
        <v/>
      </c>
      <c r="E14" s="23">
        <f>$B14*0.3*0.96</f>
        <v/>
      </c>
      <c r="F14" s="23">
        <f>$B14*0.4*0.97</f>
        <v/>
      </c>
      <c r="G14" s="23">
        <f>$B14*0.6*0.99</f>
        <v/>
      </c>
      <c r="H14" s="23">
        <f>$B14*0.8*1.0</f>
        <v/>
      </c>
      <c r="I14" s="24" t="n">
        <v>26.5</v>
      </c>
      <c r="J14" s="22" t="n">
        <v>8</v>
      </c>
      <c r="K14" s="24">
        <f>'Расчёт'!$B$5-5.75</f>
        <v/>
      </c>
    </row>
    <row r="15">
      <c r="A15" s="22" t="n">
        <v>11</v>
      </c>
      <c r="B15" s="23" t="n">
        <v>0.003258101851851852</v>
      </c>
      <c r="C15" s="23">
        <f>$B15*0.1*0.93</f>
        <v/>
      </c>
      <c r="D15" s="23">
        <f>$B15*0.2*0.94</f>
        <v/>
      </c>
      <c r="E15" s="23">
        <f>$B15*0.3*0.96</f>
        <v/>
      </c>
      <c r="F15" s="23">
        <f>$B15*0.4*0.97</f>
        <v/>
      </c>
      <c r="G15" s="23">
        <f>$B15*0.6*0.99</f>
        <v/>
      </c>
      <c r="H15" s="23">
        <f>$B15*0.8*1.0</f>
        <v/>
      </c>
      <c r="I15" s="24" t="n">
        <v>26.35</v>
      </c>
      <c r="J15" s="22" t="n">
        <v>8.5</v>
      </c>
      <c r="K15" s="24">
        <f>'Расчёт'!$B$5-6.3799999999999955</f>
        <v/>
      </c>
    </row>
    <row r="16">
      <c r="A16" s="25" t="n">
        <v>12</v>
      </c>
      <c r="B16" s="26" t="n">
        <v>0.003229166666666667</v>
      </c>
      <c r="C16" s="26">
        <f>$B16*0.1*0.93</f>
        <v/>
      </c>
      <c r="D16" s="26">
        <f>$B16*0.2*0.94</f>
        <v/>
      </c>
      <c r="E16" s="26">
        <f>$B16*0.3*0.96</f>
        <v/>
      </c>
      <c r="F16" s="26">
        <f>$B16*0.4*0.97</f>
        <v/>
      </c>
      <c r="G16" s="26">
        <f>$B16*0.6*0.99</f>
        <v/>
      </c>
      <c r="H16" s="26">
        <f>$B16*0.8*1.0</f>
        <v/>
      </c>
      <c r="I16" s="27" t="n">
        <v>26.2</v>
      </c>
      <c r="J16" s="25" t="n">
        <v>9</v>
      </c>
      <c r="K16" s="27">
        <f>'Расчёт'!$B$5-7.0</f>
        <v/>
      </c>
    </row>
    <row r="17">
      <c r="A17" s="22" t="n">
        <v>13</v>
      </c>
      <c r="B17" s="23" t="n">
        <v>0.003203125</v>
      </c>
      <c r="C17" s="23">
        <f>$B17*0.1*0.93</f>
        <v/>
      </c>
      <c r="D17" s="23">
        <f>$B17*0.2*0.94</f>
        <v/>
      </c>
      <c r="E17" s="23">
        <f>$B17*0.3*0.96</f>
        <v/>
      </c>
      <c r="F17" s="23">
        <f>$B17*0.4*0.97</f>
        <v/>
      </c>
      <c r="G17" s="23">
        <f>$B17*0.6*0.99</f>
        <v/>
      </c>
      <c r="H17" s="23">
        <f>$B17*0.8*1.0</f>
        <v/>
      </c>
      <c r="I17" s="24" t="n">
        <v>26.05</v>
      </c>
      <c r="J17" s="22" t="n">
        <v>9.5</v>
      </c>
      <c r="K17" s="24">
        <f>'Расчёт'!$B$5-7.5</f>
        <v/>
      </c>
    </row>
    <row r="18">
      <c r="A18" s="22" t="n">
        <v>14</v>
      </c>
      <c r="B18" s="23" t="n">
        <v>0.003177083333333333</v>
      </c>
      <c r="C18" s="23">
        <f>$B18*0.1*0.93</f>
        <v/>
      </c>
      <c r="D18" s="23">
        <f>$B18*0.2*0.94</f>
        <v/>
      </c>
      <c r="E18" s="23">
        <f>$B18*0.3*0.96</f>
        <v/>
      </c>
      <c r="F18" s="23">
        <f>$B18*0.4*0.97</f>
        <v/>
      </c>
      <c r="G18" s="23">
        <f>$B18*0.6*0.99</f>
        <v/>
      </c>
      <c r="H18" s="23">
        <f>$B18*0.8*1.0</f>
        <v/>
      </c>
      <c r="I18" s="24" t="n">
        <v>25.9</v>
      </c>
      <c r="J18" s="22" t="n">
        <v>10</v>
      </c>
      <c r="K18" s="24">
        <f>'Расчёт'!$B$5-8.0</f>
        <v/>
      </c>
    </row>
    <row r="19">
      <c r="A19" s="22" t="n">
        <v>15</v>
      </c>
      <c r="B19" s="23" t="n">
        <v>0.003151041666666667</v>
      </c>
      <c r="C19" s="23">
        <f>$B19*0.1*0.93</f>
        <v/>
      </c>
      <c r="D19" s="23">
        <f>$B19*0.2*0.94</f>
        <v/>
      </c>
      <c r="E19" s="23">
        <f>$B19*0.3*0.96</f>
        <v/>
      </c>
      <c r="F19" s="23">
        <f>$B19*0.4*0.97</f>
        <v/>
      </c>
      <c r="G19" s="23">
        <f>$B19*0.6*0.99</f>
        <v/>
      </c>
      <c r="H19" s="23">
        <f>$B19*0.8*1.0</f>
        <v/>
      </c>
      <c r="I19" s="24" t="n">
        <v>25.75</v>
      </c>
      <c r="J19" s="22" t="n">
        <v>10.5</v>
      </c>
      <c r="K19" s="24">
        <f>'Расчёт'!$B$5-8.5</f>
        <v/>
      </c>
    </row>
    <row r="20">
      <c r="A20" s="25" t="n">
        <v>16</v>
      </c>
      <c r="B20" s="26" t="n">
        <v>0.003125</v>
      </c>
      <c r="C20" s="26">
        <f>$B20*0.1*0.93</f>
        <v/>
      </c>
      <c r="D20" s="26">
        <f>$B20*0.2*0.94</f>
        <v/>
      </c>
      <c r="E20" s="26">
        <f>$B20*0.3*0.96</f>
        <v/>
      </c>
      <c r="F20" s="26">
        <f>$B20*0.4*0.97</f>
        <v/>
      </c>
      <c r="G20" s="26">
        <f>$B20*0.6*0.99</f>
        <v/>
      </c>
      <c r="H20" s="26">
        <f>$B20*0.8*1.0</f>
        <v/>
      </c>
      <c r="I20" s="27" t="n">
        <v>25.6</v>
      </c>
      <c r="J20" s="25" t="n">
        <v>11</v>
      </c>
      <c r="K20" s="27">
        <f>'Расчёт'!$B$5-9.0</f>
        <v/>
      </c>
    </row>
    <row r="22">
      <c r="A22" s="14" t="inlineStr">
        <is>
          <t>Серым выделены контрольные недели.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8A57"/>
    <outlinePr summaryBelow="1" summaryRight="1"/>
    <pageSetUpPr/>
  </sheetPr>
  <dimension ref="A1:U1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9" customWidth="1" min="4" max="4"/>
    <col width="9" customWidth="1" min="5" max="5"/>
    <col width="13" customWidth="1" min="6" max="6"/>
    <col width="10" customWidth="1" min="7" max="7"/>
    <col width="9" customWidth="1" min="8" max="8"/>
    <col width="14" customWidth="1" min="9" max="9"/>
    <col width="8" customWidth="1" min="10" max="10"/>
    <col width="11" customWidth="1" min="11" max="11"/>
    <col width="34" customWidth="1" min="12" max="12"/>
    <col width="14" customWidth="1" min="13" max="13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Дневник результатов</t>
        </is>
      </c>
    </row>
    <row r="2">
      <c r="A2" s="2" t="inlineStr">
        <is>
          <t>Вноси данные в жёлтые ячейки. 1 км вводи в двух колонках: минуты и секунды.</t>
        </is>
      </c>
    </row>
    <row r="3">
      <c r="P3" s="5" t="inlineStr">
        <is>
          <t>Плановая траектория (для графиков)</t>
        </is>
      </c>
    </row>
    <row r="4">
      <c r="A4" s="15" t="inlineStr">
        <is>
          <t>Дата</t>
        </is>
      </c>
      <c r="B4" s="15" t="inlineStr">
        <is>
          <t>Вес, кг</t>
        </is>
      </c>
      <c r="C4" s="15" t="inlineStr">
        <is>
          <t>Талия, см</t>
        </is>
      </c>
      <c r="D4" s="15" t="inlineStr">
        <is>
          <t>1 км, мин</t>
        </is>
      </c>
      <c r="E4" s="15" t="inlineStr">
        <is>
          <t>1 км, сек</t>
        </is>
      </c>
      <c r="F4" s="15" t="inlineStr">
        <is>
          <t>Подтягивания</t>
        </is>
      </c>
      <c r="G4" s="15" t="inlineStr">
        <is>
          <t>10×10, с</t>
        </is>
      </c>
      <c r="H4" s="15" t="inlineStr">
        <is>
          <t>Шаги</t>
        </is>
      </c>
      <c r="I4" s="15" t="inlineStr">
        <is>
          <t>Самочувствие 1–5</t>
        </is>
      </c>
      <c r="J4" s="15" t="inlineStr">
        <is>
          <t>Сон, ч</t>
        </is>
      </c>
      <c r="K4" s="15" t="inlineStr">
        <is>
          <t>Колени 0–10</t>
        </is>
      </c>
      <c r="L4" s="15" t="inlineStr">
        <is>
          <t>Комментарий</t>
        </is>
      </c>
      <c r="M4" s="15" t="inlineStr">
        <is>
          <t>1 км, всего сек</t>
        </is>
      </c>
      <c r="P4" s="28" t="inlineStr">
        <is>
          <t>Нед.</t>
        </is>
      </c>
      <c r="Q4" s="28" t="inlineStr">
        <is>
          <t>Дата</t>
        </is>
      </c>
      <c r="R4" s="28" t="inlineStr">
        <is>
          <t>1 км, с</t>
        </is>
      </c>
      <c r="S4" s="28" t="inlineStr">
        <is>
          <t>Подтяг.</t>
        </is>
      </c>
      <c r="T4" s="28" t="inlineStr">
        <is>
          <t>10×10, с</t>
        </is>
      </c>
      <c r="U4" s="28" t="inlineStr">
        <is>
          <t>Вес, кг</t>
        </is>
      </c>
    </row>
    <row r="5">
      <c r="A5" s="29" t="n">
        <v>46296</v>
      </c>
      <c r="B5" s="6" t="n"/>
      <c r="C5" s="6" t="n"/>
      <c r="D5" s="6" t="n">
        <v>5</v>
      </c>
      <c r="E5" s="6" t="n">
        <v>10</v>
      </c>
      <c r="F5" s="6" t="n">
        <v>3</v>
      </c>
      <c r="G5" s="6" t="n">
        <v>28</v>
      </c>
      <c r="H5" s="6" t="n"/>
      <c r="I5" s="6" t="n"/>
      <c r="J5" s="6" t="n"/>
      <c r="K5" s="6" t="n"/>
      <c r="L5" s="6" t="inlineStr">
        <is>
          <t>Исходные данные из таблицы</t>
        </is>
      </c>
      <c r="M5" s="22">
        <f>IF(AND(D5&lt;&gt;"",E5&lt;&gt;""),D5*60+E5,"")</f>
        <v/>
      </c>
      <c r="P5" s="22" t="n">
        <v>0</v>
      </c>
      <c r="Q5" s="30">
        <f>'Расчёт'!$B$11+0</f>
        <v/>
      </c>
      <c r="R5" s="22" t="n">
        <v>310</v>
      </c>
      <c r="S5" s="22" t="n">
        <v>3</v>
      </c>
      <c r="T5" s="22" t="n">
        <v>28</v>
      </c>
      <c r="U5" s="24">
        <f>'Расчёт'!$B$5-0.0</f>
        <v/>
      </c>
    </row>
    <row r="6">
      <c r="A6" s="29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22">
        <f>IF(AND(D6&lt;&gt;"",E6&lt;&gt;""),D6*60+E6,"")</f>
        <v/>
      </c>
      <c r="P6" s="22" t="n">
        <v>1</v>
      </c>
      <c r="Q6" s="30">
        <f>'Расчёт'!$B$11+7</f>
        <v/>
      </c>
      <c r="R6" s="22" t="n">
        <v>307.5</v>
      </c>
      <c r="S6" s="22" t="n">
        <v>3.5</v>
      </c>
      <c r="T6" s="22" t="n">
        <v>27.88</v>
      </c>
      <c r="U6" s="24">
        <f>'Расчёт'!$B$5-0.5</f>
        <v/>
      </c>
    </row>
    <row r="7">
      <c r="A7" s="29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22">
        <f>IF(AND(D7&lt;&gt;"",E7&lt;&gt;""),D7*60+E7,"")</f>
        <v/>
      </c>
      <c r="P7" s="22" t="n">
        <v>2</v>
      </c>
      <c r="Q7" s="30">
        <f>'Расчёт'!$B$11+14</f>
        <v/>
      </c>
      <c r="R7" s="22" t="n">
        <v>305</v>
      </c>
      <c r="S7" s="22" t="n">
        <v>4</v>
      </c>
      <c r="T7" s="22" t="n">
        <v>27.75</v>
      </c>
      <c r="U7" s="24">
        <f>'Расчёт'!$B$5-1.0</f>
        <v/>
      </c>
    </row>
    <row r="8">
      <c r="A8" s="29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22">
        <f>IF(AND(D8&lt;&gt;"",E8&lt;&gt;""),D8*60+E8,"")</f>
        <v/>
      </c>
      <c r="P8" s="22" t="n">
        <v>3</v>
      </c>
      <c r="Q8" s="30">
        <f>'Расчёт'!$B$11+21</f>
        <v/>
      </c>
      <c r="R8" s="22" t="n">
        <v>302.5</v>
      </c>
      <c r="S8" s="22" t="n">
        <v>4.5</v>
      </c>
      <c r="T8" s="22" t="n">
        <v>27.62</v>
      </c>
      <c r="U8" s="24">
        <f>'Расчёт'!$B$5-1.5</f>
        <v/>
      </c>
    </row>
    <row r="9">
      <c r="A9" s="29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22">
        <f>IF(AND(D9&lt;&gt;"",E9&lt;&gt;""),D9*60+E9,"")</f>
        <v/>
      </c>
      <c r="P9" s="22" t="n">
        <v>4</v>
      </c>
      <c r="Q9" s="30">
        <f>'Расчёт'!$B$11+28</f>
        <v/>
      </c>
      <c r="R9" s="22" t="n">
        <v>300</v>
      </c>
      <c r="S9" s="22" t="n">
        <v>5</v>
      </c>
      <c r="T9" s="22" t="n">
        <v>27.5</v>
      </c>
      <c r="U9" s="24">
        <f>'Расчёт'!$B$5-2.0</f>
        <v/>
      </c>
    </row>
    <row r="10">
      <c r="A10" s="29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22">
        <f>IF(AND(D10&lt;&gt;"",E10&lt;&gt;""),D10*60+E10,"")</f>
        <v/>
      </c>
      <c r="P10" s="22" t="n">
        <v>5</v>
      </c>
      <c r="Q10" s="30">
        <f>'Расчёт'!$B$11+35</f>
        <v/>
      </c>
      <c r="R10" s="22" t="n">
        <v>297.25</v>
      </c>
      <c r="S10" s="22" t="n">
        <v>5.5</v>
      </c>
      <c r="T10" s="22" t="n">
        <v>27.32</v>
      </c>
      <c r="U10" s="24">
        <f>'Расчёт'!$B$5-2.6200000000000045</f>
        <v/>
      </c>
    </row>
    <row r="11">
      <c r="A11" s="29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22">
        <f>IF(AND(D11&lt;&gt;"",E11&lt;&gt;""),D11*60+E11,"")</f>
        <v/>
      </c>
      <c r="P11" s="22" t="n">
        <v>6</v>
      </c>
      <c r="Q11" s="30">
        <f>'Расчёт'!$B$11+42</f>
        <v/>
      </c>
      <c r="R11" s="22" t="n">
        <v>294.5</v>
      </c>
      <c r="S11" s="22" t="n">
        <v>6</v>
      </c>
      <c r="T11" s="22" t="n">
        <v>27.15</v>
      </c>
      <c r="U11" s="24">
        <f>'Расчёт'!$B$5-3.25</f>
        <v/>
      </c>
    </row>
    <row r="12">
      <c r="A12" s="29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22">
        <f>IF(AND(D12&lt;&gt;"",E12&lt;&gt;""),D12*60+E12,"")</f>
        <v/>
      </c>
      <c r="P12" s="22" t="n">
        <v>7</v>
      </c>
      <c r="Q12" s="30">
        <f>'Расчёт'!$B$11+49</f>
        <v/>
      </c>
      <c r="R12" s="22" t="n">
        <v>291.75</v>
      </c>
      <c r="S12" s="22" t="n">
        <v>6.5</v>
      </c>
      <c r="T12" s="22" t="n">
        <v>26.98</v>
      </c>
      <c r="U12" s="24">
        <f>'Расчёт'!$B$5-3.8799999999999955</f>
        <v/>
      </c>
    </row>
    <row r="13">
      <c r="A13" s="29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22">
        <f>IF(AND(D13&lt;&gt;"",E13&lt;&gt;""),D13*60+E13,"")</f>
        <v/>
      </c>
      <c r="P13" s="22" t="n">
        <v>8</v>
      </c>
      <c r="Q13" s="30">
        <f>'Расчёт'!$B$11+56</f>
        <v/>
      </c>
      <c r="R13" s="22" t="n">
        <v>289</v>
      </c>
      <c r="S13" s="22" t="n">
        <v>7</v>
      </c>
      <c r="T13" s="22" t="n">
        <v>26.8</v>
      </c>
      <c r="U13" s="24">
        <f>'Расчёт'!$B$5-4.5</f>
        <v/>
      </c>
    </row>
    <row r="14">
      <c r="A14" s="29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22">
        <f>IF(AND(D14&lt;&gt;"",E14&lt;&gt;""),D14*60+E14,"")</f>
        <v/>
      </c>
      <c r="P14" s="22" t="n">
        <v>9</v>
      </c>
      <c r="Q14" s="30">
        <f>'Расчёт'!$B$11+63</f>
        <v/>
      </c>
      <c r="R14" s="22" t="n">
        <v>286.5</v>
      </c>
      <c r="S14" s="22" t="n">
        <v>7.5</v>
      </c>
      <c r="T14" s="22" t="n">
        <v>26.65</v>
      </c>
      <c r="U14" s="24">
        <f>'Расчёт'!$B$5-5.1200000000000045</f>
        <v/>
      </c>
    </row>
    <row r="15">
      <c r="A15" s="29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22">
        <f>IF(AND(D15&lt;&gt;"",E15&lt;&gt;""),D15*60+E15,"")</f>
        <v/>
      </c>
      <c r="P15" s="22" t="n">
        <v>10</v>
      </c>
      <c r="Q15" s="30">
        <f>'Расчёт'!$B$11+70</f>
        <v/>
      </c>
      <c r="R15" s="22" t="n">
        <v>284</v>
      </c>
      <c r="S15" s="22" t="n">
        <v>8</v>
      </c>
      <c r="T15" s="22" t="n">
        <v>26.5</v>
      </c>
      <c r="U15" s="24">
        <f>'Расчёт'!$B$5-5.75</f>
        <v/>
      </c>
    </row>
    <row r="16">
      <c r="A16" s="29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22">
        <f>IF(AND(D16&lt;&gt;"",E16&lt;&gt;""),D16*60+E16,"")</f>
        <v/>
      </c>
      <c r="P16" s="22" t="n">
        <v>11</v>
      </c>
      <c r="Q16" s="30">
        <f>'Расчёт'!$B$11+77</f>
        <v/>
      </c>
      <c r="R16" s="22" t="n">
        <v>281.5</v>
      </c>
      <c r="S16" s="22" t="n">
        <v>8.5</v>
      </c>
      <c r="T16" s="22" t="n">
        <v>26.35</v>
      </c>
      <c r="U16" s="24">
        <f>'Расчёт'!$B$5-6.3799999999999955</f>
        <v/>
      </c>
    </row>
    <row r="17">
      <c r="A17" s="29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22">
        <f>IF(AND(D17&lt;&gt;"",E17&lt;&gt;""),D17*60+E17,"")</f>
        <v/>
      </c>
      <c r="P17" s="22" t="n">
        <v>12</v>
      </c>
      <c r="Q17" s="30">
        <f>'Расчёт'!$B$11+84</f>
        <v/>
      </c>
      <c r="R17" s="22" t="n">
        <v>279</v>
      </c>
      <c r="S17" s="22" t="n">
        <v>9</v>
      </c>
      <c r="T17" s="22" t="n">
        <v>26.2</v>
      </c>
      <c r="U17" s="24">
        <f>'Расчёт'!$B$5-7.0</f>
        <v/>
      </c>
    </row>
    <row r="18">
      <c r="A18" s="29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22">
        <f>IF(AND(D18&lt;&gt;"",E18&lt;&gt;""),D18*60+E18,"")</f>
        <v/>
      </c>
      <c r="P18" s="22" t="n">
        <v>13</v>
      </c>
      <c r="Q18" s="30">
        <f>'Расчёт'!$B$11+91</f>
        <v/>
      </c>
      <c r="R18" s="22" t="n">
        <v>276.75</v>
      </c>
      <c r="S18" s="22" t="n">
        <v>9.5</v>
      </c>
      <c r="T18" s="22" t="n">
        <v>26.05</v>
      </c>
      <c r="U18" s="24">
        <f>'Расчёт'!$B$5-7.5</f>
        <v/>
      </c>
    </row>
    <row r="19">
      <c r="A19" s="29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22">
        <f>IF(AND(D19&lt;&gt;"",E19&lt;&gt;""),D19*60+E19,"")</f>
        <v/>
      </c>
      <c r="P19" s="22" t="n">
        <v>14</v>
      </c>
      <c r="Q19" s="30">
        <f>'Расчёт'!$B$11+98</f>
        <v/>
      </c>
      <c r="R19" s="22" t="n">
        <v>274.5</v>
      </c>
      <c r="S19" s="22" t="n">
        <v>10</v>
      </c>
      <c r="T19" s="22" t="n">
        <v>25.9</v>
      </c>
      <c r="U19" s="24">
        <f>'Расчёт'!$B$5-8.0</f>
        <v/>
      </c>
    </row>
    <row r="20">
      <c r="A20" s="29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22">
        <f>IF(AND(D20&lt;&gt;"",E20&lt;&gt;""),D20*60+E20,"")</f>
        <v/>
      </c>
      <c r="P20" s="22" t="n">
        <v>15</v>
      </c>
      <c r="Q20" s="30">
        <f>'Расчёт'!$B$11+105</f>
        <v/>
      </c>
      <c r="R20" s="22" t="n">
        <v>272.25</v>
      </c>
      <c r="S20" s="22" t="n">
        <v>10.5</v>
      </c>
      <c r="T20" s="22" t="n">
        <v>25.75</v>
      </c>
      <c r="U20" s="24">
        <f>'Расчёт'!$B$5-8.5</f>
        <v/>
      </c>
    </row>
    <row r="21">
      <c r="A21" s="29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22">
        <f>IF(AND(D21&lt;&gt;"",E21&lt;&gt;""),D21*60+E21,"")</f>
        <v/>
      </c>
      <c r="P21" s="22" t="n">
        <v>16</v>
      </c>
      <c r="Q21" s="30">
        <f>'Расчёт'!$B$11+112</f>
        <v/>
      </c>
      <c r="R21" s="22" t="n">
        <v>270</v>
      </c>
      <c r="S21" s="22" t="n">
        <v>11</v>
      </c>
      <c r="T21" s="22" t="n">
        <v>25.6</v>
      </c>
      <c r="U21" s="24">
        <f>'Расчёт'!$B$5-9.0</f>
        <v/>
      </c>
    </row>
    <row r="22">
      <c r="A22" s="29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22">
        <f>IF(AND(D22&lt;&gt;"",E22&lt;&gt;""),D22*60+E22,"")</f>
        <v/>
      </c>
    </row>
    <row r="23">
      <c r="A23" s="29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22">
        <f>IF(AND(D23&lt;&gt;"",E23&lt;&gt;""),D23*60+E23,"")</f>
        <v/>
      </c>
    </row>
    <row r="24">
      <c r="A24" s="29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22">
        <f>IF(AND(D24&lt;&gt;"",E24&lt;&gt;""),D24*60+E24,"")</f>
        <v/>
      </c>
    </row>
    <row r="25">
      <c r="A25" s="29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22">
        <f>IF(AND(D25&lt;&gt;"",E25&lt;&gt;""),D25*60+E25,"")</f>
        <v/>
      </c>
    </row>
    <row r="26">
      <c r="A26" s="29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22">
        <f>IF(AND(D26&lt;&gt;"",E26&lt;&gt;""),D26*60+E26,"")</f>
        <v/>
      </c>
    </row>
    <row r="27">
      <c r="A27" s="29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22">
        <f>IF(AND(D27&lt;&gt;"",E27&lt;&gt;""),D27*60+E27,"")</f>
        <v/>
      </c>
    </row>
    <row r="28">
      <c r="A28" s="29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22">
        <f>IF(AND(D28&lt;&gt;"",E28&lt;&gt;""),D28*60+E28,"")</f>
        <v/>
      </c>
    </row>
    <row r="29">
      <c r="A29" s="29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22">
        <f>IF(AND(D29&lt;&gt;"",E29&lt;&gt;""),D29*60+E29,"")</f>
        <v/>
      </c>
    </row>
    <row r="30">
      <c r="A30" s="29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22">
        <f>IF(AND(D30&lt;&gt;"",E30&lt;&gt;""),D30*60+E30,"")</f>
        <v/>
      </c>
    </row>
    <row r="31">
      <c r="A31" s="29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22">
        <f>IF(AND(D31&lt;&gt;"",E31&lt;&gt;""),D31*60+E31,"")</f>
        <v/>
      </c>
    </row>
    <row r="32">
      <c r="A32" s="29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22">
        <f>IF(AND(D32&lt;&gt;"",E32&lt;&gt;""),D32*60+E32,"")</f>
        <v/>
      </c>
    </row>
    <row r="33">
      <c r="A33" s="29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22">
        <f>IF(AND(D33&lt;&gt;"",E33&lt;&gt;""),D33*60+E33,"")</f>
        <v/>
      </c>
    </row>
    <row r="34">
      <c r="A34" s="29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22">
        <f>IF(AND(D34&lt;&gt;"",E34&lt;&gt;""),D34*60+E34,"")</f>
        <v/>
      </c>
    </row>
    <row r="35">
      <c r="A35" s="29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22">
        <f>IF(AND(D35&lt;&gt;"",E35&lt;&gt;""),D35*60+E35,"")</f>
        <v/>
      </c>
    </row>
    <row r="36">
      <c r="A36" s="29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22">
        <f>IF(AND(D36&lt;&gt;"",E36&lt;&gt;""),D36*60+E36,"")</f>
        <v/>
      </c>
    </row>
    <row r="37">
      <c r="A37" s="29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22">
        <f>IF(AND(D37&lt;&gt;"",E37&lt;&gt;""),D37*60+E37,"")</f>
        <v/>
      </c>
    </row>
    <row r="38">
      <c r="A38" s="29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22">
        <f>IF(AND(D38&lt;&gt;"",E38&lt;&gt;""),D38*60+E38,"")</f>
        <v/>
      </c>
    </row>
    <row r="39">
      <c r="A39" s="29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22">
        <f>IF(AND(D39&lt;&gt;"",E39&lt;&gt;""),D39*60+E39,"")</f>
        <v/>
      </c>
    </row>
    <row r="40">
      <c r="A40" s="29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22">
        <f>IF(AND(D40&lt;&gt;"",E40&lt;&gt;""),D40*60+E40,"")</f>
        <v/>
      </c>
    </row>
    <row r="41">
      <c r="A41" s="29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22">
        <f>IF(AND(D41&lt;&gt;"",E41&lt;&gt;""),D41*60+E41,"")</f>
        <v/>
      </c>
    </row>
    <row r="42">
      <c r="A42" s="29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22">
        <f>IF(AND(D42&lt;&gt;"",E42&lt;&gt;""),D42*60+E42,"")</f>
        <v/>
      </c>
    </row>
    <row r="43">
      <c r="A43" s="29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22">
        <f>IF(AND(D43&lt;&gt;"",E43&lt;&gt;""),D43*60+E43,"")</f>
        <v/>
      </c>
    </row>
    <row r="44">
      <c r="A44" s="29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22">
        <f>IF(AND(D44&lt;&gt;"",E44&lt;&gt;""),D44*60+E44,"")</f>
        <v/>
      </c>
    </row>
    <row r="45">
      <c r="A45" s="29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22">
        <f>IF(AND(D45&lt;&gt;"",E45&lt;&gt;""),D45*60+E45,"")</f>
        <v/>
      </c>
    </row>
    <row r="46">
      <c r="A46" s="29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22">
        <f>IF(AND(D46&lt;&gt;"",E46&lt;&gt;""),D46*60+E46,"")</f>
        <v/>
      </c>
    </row>
    <row r="47">
      <c r="A47" s="29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22">
        <f>IF(AND(D47&lt;&gt;"",E47&lt;&gt;""),D47*60+E47,"")</f>
        <v/>
      </c>
    </row>
    <row r="48">
      <c r="A48" s="29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22">
        <f>IF(AND(D48&lt;&gt;"",E48&lt;&gt;""),D48*60+E48,"")</f>
        <v/>
      </c>
    </row>
    <row r="49">
      <c r="A49" s="29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22">
        <f>IF(AND(D49&lt;&gt;"",E49&lt;&gt;""),D49*60+E49,"")</f>
        <v/>
      </c>
    </row>
    <row r="50">
      <c r="A50" s="29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22">
        <f>IF(AND(D50&lt;&gt;"",E50&lt;&gt;""),D50*60+E50,"")</f>
        <v/>
      </c>
    </row>
    <row r="51">
      <c r="A51" s="29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22">
        <f>IF(AND(D51&lt;&gt;"",E51&lt;&gt;""),D51*60+E51,"")</f>
        <v/>
      </c>
    </row>
    <row r="52">
      <c r="A52" s="29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22">
        <f>IF(AND(D52&lt;&gt;"",E52&lt;&gt;""),D52*60+E52,"")</f>
        <v/>
      </c>
    </row>
    <row r="53">
      <c r="A53" s="29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22">
        <f>IF(AND(D53&lt;&gt;"",E53&lt;&gt;""),D53*60+E53,"")</f>
        <v/>
      </c>
    </row>
    <row r="54">
      <c r="A54" s="29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22">
        <f>IF(AND(D54&lt;&gt;"",E54&lt;&gt;""),D54*60+E54,"")</f>
        <v/>
      </c>
    </row>
    <row r="55">
      <c r="A55" s="29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22">
        <f>IF(AND(D55&lt;&gt;"",E55&lt;&gt;""),D55*60+E55,"")</f>
        <v/>
      </c>
    </row>
    <row r="56">
      <c r="A56" s="29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22">
        <f>IF(AND(D56&lt;&gt;"",E56&lt;&gt;""),D56*60+E56,"")</f>
        <v/>
      </c>
    </row>
    <row r="57">
      <c r="A57" s="29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22">
        <f>IF(AND(D57&lt;&gt;"",E57&lt;&gt;""),D57*60+E57,"")</f>
        <v/>
      </c>
    </row>
    <row r="58">
      <c r="A58" s="29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22">
        <f>IF(AND(D58&lt;&gt;"",E58&lt;&gt;""),D58*60+E58,"")</f>
        <v/>
      </c>
    </row>
    <row r="59">
      <c r="A59" s="29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22">
        <f>IF(AND(D59&lt;&gt;"",E59&lt;&gt;""),D59*60+E59,"")</f>
        <v/>
      </c>
    </row>
    <row r="60">
      <c r="A60" s="29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22">
        <f>IF(AND(D60&lt;&gt;"",E60&lt;&gt;""),D60*60+E60,"")</f>
        <v/>
      </c>
    </row>
    <row r="61">
      <c r="A61" s="29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22">
        <f>IF(AND(D61&lt;&gt;"",E61&lt;&gt;""),D61*60+E61,"")</f>
        <v/>
      </c>
    </row>
    <row r="62">
      <c r="A62" s="29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22">
        <f>IF(AND(D62&lt;&gt;"",E62&lt;&gt;""),D62*60+E62,"")</f>
        <v/>
      </c>
    </row>
    <row r="63">
      <c r="A63" s="29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22">
        <f>IF(AND(D63&lt;&gt;"",E63&lt;&gt;""),D63*60+E63,"")</f>
        <v/>
      </c>
    </row>
    <row r="64">
      <c r="A64" s="29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22">
        <f>IF(AND(D64&lt;&gt;"",E64&lt;&gt;""),D64*60+E64,"")</f>
        <v/>
      </c>
    </row>
    <row r="65">
      <c r="A65" s="29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22">
        <f>IF(AND(D65&lt;&gt;"",E65&lt;&gt;""),D65*60+E65,"")</f>
        <v/>
      </c>
    </row>
    <row r="66">
      <c r="A66" s="29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22">
        <f>IF(AND(D66&lt;&gt;"",E66&lt;&gt;""),D66*60+E66,"")</f>
        <v/>
      </c>
    </row>
    <row r="67">
      <c r="A67" s="29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22">
        <f>IF(AND(D67&lt;&gt;"",E67&lt;&gt;""),D67*60+E67,"")</f>
        <v/>
      </c>
    </row>
    <row r="68">
      <c r="A68" s="29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22">
        <f>IF(AND(D68&lt;&gt;"",E68&lt;&gt;""),D68*60+E68,"")</f>
        <v/>
      </c>
    </row>
    <row r="69">
      <c r="A69" s="29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22">
        <f>IF(AND(D69&lt;&gt;"",E69&lt;&gt;""),D69*60+E69,"")</f>
        <v/>
      </c>
    </row>
    <row r="70">
      <c r="A70" s="29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22">
        <f>IF(AND(D70&lt;&gt;"",E70&lt;&gt;""),D70*60+E70,"")</f>
        <v/>
      </c>
    </row>
    <row r="71">
      <c r="A71" s="29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22">
        <f>IF(AND(D71&lt;&gt;"",E71&lt;&gt;""),D71*60+E71,"")</f>
        <v/>
      </c>
    </row>
    <row r="72">
      <c r="A72" s="29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22">
        <f>IF(AND(D72&lt;&gt;"",E72&lt;&gt;""),D72*60+E72,"")</f>
        <v/>
      </c>
    </row>
    <row r="73">
      <c r="A73" s="29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22">
        <f>IF(AND(D73&lt;&gt;"",E73&lt;&gt;""),D73*60+E73,"")</f>
        <v/>
      </c>
    </row>
    <row r="74">
      <c r="A74" s="29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22">
        <f>IF(AND(D74&lt;&gt;"",E74&lt;&gt;""),D74*60+E74,"")</f>
        <v/>
      </c>
    </row>
    <row r="75">
      <c r="A75" s="29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22">
        <f>IF(AND(D75&lt;&gt;"",E75&lt;&gt;""),D75*60+E75,"")</f>
        <v/>
      </c>
    </row>
    <row r="76">
      <c r="A76" s="29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22">
        <f>IF(AND(D76&lt;&gt;"",E76&lt;&gt;""),D76*60+E76,"")</f>
        <v/>
      </c>
    </row>
    <row r="77">
      <c r="A77" s="29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22">
        <f>IF(AND(D77&lt;&gt;"",E77&lt;&gt;""),D77*60+E77,"")</f>
        <v/>
      </c>
    </row>
    <row r="78">
      <c r="A78" s="29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22">
        <f>IF(AND(D78&lt;&gt;"",E78&lt;&gt;""),D78*60+E78,"")</f>
        <v/>
      </c>
    </row>
    <row r="79">
      <c r="A79" s="29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22">
        <f>IF(AND(D79&lt;&gt;"",E79&lt;&gt;""),D79*60+E79,"")</f>
        <v/>
      </c>
    </row>
    <row r="80">
      <c r="A80" s="29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22">
        <f>IF(AND(D80&lt;&gt;"",E80&lt;&gt;""),D80*60+E80,"")</f>
        <v/>
      </c>
    </row>
    <row r="81">
      <c r="A81" s="29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22">
        <f>IF(AND(D81&lt;&gt;"",E81&lt;&gt;""),D81*60+E81,"")</f>
        <v/>
      </c>
    </row>
    <row r="82">
      <c r="A82" s="29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22">
        <f>IF(AND(D82&lt;&gt;"",E82&lt;&gt;""),D82*60+E82,"")</f>
        <v/>
      </c>
    </row>
    <row r="83">
      <c r="A83" s="29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22">
        <f>IF(AND(D83&lt;&gt;"",E83&lt;&gt;""),D83*60+E83,"")</f>
        <v/>
      </c>
    </row>
    <row r="84">
      <c r="A84" s="29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22">
        <f>IF(AND(D84&lt;&gt;"",E84&lt;&gt;""),D84*60+E84,"")</f>
        <v/>
      </c>
    </row>
    <row r="85">
      <c r="A85" s="29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22">
        <f>IF(AND(D85&lt;&gt;"",E85&lt;&gt;""),D85*60+E85,"")</f>
        <v/>
      </c>
    </row>
    <row r="86">
      <c r="A86" s="29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22">
        <f>IF(AND(D86&lt;&gt;"",E86&lt;&gt;""),D86*60+E86,"")</f>
        <v/>
      </c>
    </row>
    <row r="87">
      <c r="A87" s="29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22">
        <f>IF(AND(D87&lt;&gt;"",E87&lt;&gt;""),D87*60+E87,"")</f>
        <v/>
      </c>
    </row>
    <row r="88">
      <c r="A88" s="29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22">
        <f>IF(AND(D88&lt;&gt;"",E88&lt;&gt;""),D88*60+E88,"")</f>
        <v/>
      </c>
    </row>
    <row r="89">
      <c r="A89" s="29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22">
        <f>IF(AND(D89&lt;&gt;"",E89&lt;&gt;""),D89*60+E89,"")</f>
        <v/>
      </c>
    </row>
    <row r="90">
      <c r="A90" s="29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22">
        <f>IF(AND(D90&lt;&gt;"",E90&lt;&gt;""),D90*60+E90,"")</f>
        <v/>
      </c>
    </row>
    <row r="91">
      <c r="A91" s="29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22">
        <f>IF(AND(D91&lt;&gt;"",E91&lt;&gt;""),D91*60+E91,"")</f>
        <v/>
      </c>
    </row>
    <row r="92">
      <c r="A92" s="29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22">
        <f>IF(AND(D92&lt;&gt;"",E92&lt;&gt;""),D92*60+E92,"")</f>
        <v/>
      </c>
    </row>
    <row r="93">
      <c r="A93" s="29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22">
        <f>IF(AND(D93&lt;&gt;"",E93&lt;&gt;""),D93*60+E93,"")</f>
        <v/>
      </c>
    </row>
    <row r="94">
      <c r="A94" s="29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22">
        <f>IF(AND(D94&lt;&gt;"",E94&lt;&gt;""),D94*60+E94,"")</f>
        <v/>
      </c>
    </row>
    <row r="95">
      <c r="A95" s="29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22">
        <f>IF(AND(D95&lt;&gt;"",E95&lt;&gt;""),D95*60+E95,"")</f>
        <v/>
      </c>
    </row>
    <row r="96">
      <c r="A96" s="29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22">
        <f>IF(AND(D96&lt;&gt;"",E96&lt;&gt;""),D96*60+E96,"")</f>
        <v/>
      </c>
    </row>
    <row r="97">
      <c r="A97" s="29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22">
        <f>IF(AND(D97&lt;&gt;"",E97&lt;&gt;""),D97*60+E97,"")</f>
        <v/>
      </c>
    </row>
    <row r="98">
      <c r="A98" s="29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22">
        <f>IF(AND(D98&lt;&gt;"",E98&lt;&gt;""),D98*60+E98,"")</f>
        <v/>
      </c>
    </row>
    <row r="99">
      <c r="A99" s="29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22">
        <f>IF(AND(D99&lt;&gt;"",E99&lt;&gt;""),D99*60+E99,"")</f>
        <v/>
      </c>
    </row>
    <row r="100">
      <c r="A100" s="29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22">
        <f>IF(AND(D100&lt;&gt;"",E100&lt;&gt;""),D100*60+E100,"")</f>
        <v/>
      </c>
    </row>
    <row r="101">
      <c r="A101" s="29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22">
        <f>IF(AND(D101&lt;&gt;"",E101&lt;&gt;""),D101*60+E101,"")</f>
        <v/>
      </c>
    </row>
    <row r="102">
      <c r="A102" s="29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22">
        <f>IF(AND(D102&lt;&gt;"",E102&lt;&gt;""),D102*60+E102,"")</f>
        <v/>
      </c>
    </row>
    <row r="103">
      <c r="A103" s="29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22">
        <f>IF(AND(D103&lt;&gt;"",E103&lt;&gt;""),D103*60+E103,"")</f>
        <v/>
      </c>
    </row>
    <row r="104">
      <c r="A104" s="29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22">
        <f>IF(AND(D104&lt;&gt;"",E104&lt;&gt;""),D104*60+E104,"")</f>
        <v/>
      </c>
    </row>
    <row r="105">
      <c r="A105" s="29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22">
        <f>IF(AND(D105&lt;&gt;"",E105&lt;&gt;""),D105*60+E105,"")</f>
        <v/>
      </c>
    </row>
    <row r="106">
      <c r="A106" s="29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22">
        <f>IF(AND(D106&lt;&gt;"",E106&lt;&gt;""),D106*60+E106,"")</f>
        <v/>
      </c>
    </row>
    <row r="107">
      <c r="A107" s="29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22">
        <f>IF(AND(D107&lt;&gt;"",E107&lt;&gt;""),D107*60+E107,"")</f>
        <v/>
      </c>
    </row>
    <row r="108">
      <c r="A108" s="29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22">
        <f>IF(AND(D108&lt;&gt;"",E108&lt;&gt;""),D108*60+E108,"")</f>
        <v/>
      </c>
    </row>
    <row r="109">
      <c r="A109" s="29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22">
        <f>IF(AND(D109&lt;&gt;"",E109&lt;&gt;""),D109*60+E109,"")</f>
        <v/>
      </c>
    </row>
    <row r="110">
      <c r="A110" s="29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22">
        <f>IF(AND(D110&lt;&gt;"",E110&lt;&gt;""),D110*60+E110,"")</f>
        <v/>
      </c>
    </row>
    <row r="111">
      <c r="A111" s="29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22">
        <f>IF(AND(D111&lt;&gt;"",E111&lt;&gt;""),D111*60+E111,"")</f>
        <v/>
      </c>
    </row>
    <row r="112">
      <c r="A112" s="29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22">
        <f>IF(AND(D112&lt;&gt;"",E112&lt;&gt;""),D112*60+E112,"")</f>
        <v/>
      </c>
    </row>
    <row r="113">
      <c r="A113" s="29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22">
        <f>IF(AND(D113&lt;&gt;"",E113&lt;&gt;""),D113*60+E113,"")</f>
        <v/>
      </c>
    </row>
    <row r="114">
      <c r="A114" s="29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22">
        <f>IF(AND(D114&lt;&gt;"",E114&lt;&gt;""),D114*60+E114,"")</f>
        <v/>
      </c>
    </row>
    <row r="115">
      <c r="A115" s="29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22">
        <f>IF(AND(D115&lt;&gt;"",E115&lt;&gt;""),D115*60+E115,"")</f>
        <v/>
      </c>
    </row>
    <row r="116">
      <c r="A116" s="29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22">
        <f>IF(AND(D116&lt;&gt;"",E116&lt;&gt;""),D116*60+E116,"")</f>
        <v/>
      </c>
    </row>
    <row r="117">
      <c r="A117" s="29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22">
        <f>IF(AND(D117&lt;&gt;"",E117&lt;&gt;""),D117*60+E117,"")</f>
        <v/>
      </c>
    </row>
    <row r="118">
      <c r="A118" s="29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22">
        <f>IF(AND(D118&lt;&gt;"",E118&lt;&gt;""),D118*60+E118,"")</f>
        <v/>
      </c>
    </row>
    <row r="119">
      <c r="A119" s="29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22">
        <f>IF(AND(D119&lt;&gt;"",E119&lt;&gt;""),D119*60+E119,"")</f>
        <v/>
      </c>
    </row>
    <row r="120">
      <c r="A120" s="29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22">
        <f>IF(AND(D120&lt;&gt;"",E120&lt;&gt;""),D120*60+E120,"")</f>
        <v/>
      </c>
    </row>
    <row r="121">
      <c r="A121" s="29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22">
        <f>IF(AND(D121&lt;&gt;"",E121&lt;&gt;""),D121*60+E121,"")</f>
        <v/>
      </c>
    </row>
    <row r="122">
      <c r="A122" s="29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22">
        <f>IF(AND(D122&lt;&gt;"",E122&lt;&gt;""),D122*60+E122,"")</f>
        <v/>
      </c>
    </row>
    <row r="123">
      <c r="A123" s="29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22">
        <f>IF(AND(D123&lt;&gt;"",E123&lt;&gt;""),D123*60+E123,"")</f>
        <v/>
      </c>
    </row>
    <row r="124">
      <c r="A124" s="29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22">
        <f>IF(AND(D124&lt;&gt;"",E124&lt;&gt;""),D124*60+E124,"")</f>
        <v/>
      </c>
    </row>
    <row r="125">
      <c r="A125" s="29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22">
        <f>IF(AND(D125&lt;&gt;"",E125&lt;&gt;""),D125*60+E125,"")</f>
        <v/>
      </c>
    </row>
    <row r="126">
      <c r="A126" s="29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22">
        <f>IF(AND(D126&lt;&gt;"",E126&lt;&gt;""),D126*60+E126,"")</f>
        <v/>
      </c>
    </row>
    <row r="127">
      <c r="A127" s="29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22">
        <f>IF(AND(D127&lt;&gt;"",E127&lt;&gt;""),D127*60+E127,"")</f>
        <v/>
      </c>
    </row>
    <row r="128">
      <c r="A128" s="29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22">
        <f>IF(AND(D128&lt;&gt;"",E128&lt;&gt;""),D128*60+E128,"")</f>
        <v/>
      </c>
    </row>
    <row r="129">
      <c r="A129" s="29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22">
        <f>IF(AND(D129&lt;&gt;"",E129&lt;&gt;""),D129*60+E129,"")</f>
        <v/>
      </c>
    </row>
    <row r="130">
      <c r="A130" s="29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22">
        <f>IF(AND(D130&lt;&gt;"",E130&lt;&gt;""),D130*60+E130,"")</f>
        <v/>
      </c>
    </row>
    <row r="131">
      <c r="A131" s="29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22">
        <f>IF(AND(D131&lt;&gt;"",E131&lt;&gt;""),D131*60+E131,"")</f>
        <v/>
      </c>
    </row>
    <row r="132">
      <c r="A132" s="29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22">
        <f>IF(AND(D132&lt;&gt;"",E132&lt;&gt;""),D132*60+E132,"")</f>
        <v/>
      </c>
    </row>
    <row r="133">
      <c r="A133" s="29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22">
        <f>IF(AND(D133&lt;&gt;"",E133&lt;&gt;""),D133*60+E133,"")</f>
        <v/>
      </c>
    </row>
    <row r="134">
      <c r="A134" s="29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22">
        <f>IF(AND(D134&lt;&gt;"",E134&lt;&gt;""),D134*60+E134,"")</f>
        <v/>
      </c>
    </row>
    <row r="135">
      <c r="A135" s="29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22">
        <f>IF(AND(D135&lt;&gt;"",E135&lt;&gt;""),D135*60+E135,"")</f>
        <v/>
      </c>
    </row>
    <row r="136">
      <c r="A136" s="29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22">
        <f>IF(AND(D136&lt;&gt;"",E136&lt;&gt;""),D136*60+E136,"")</f>
        <v/>
      </c>
    </row>
    <row r="137">
      <c r="A137" s="29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22">
        <f>IF(AND(D137&lt;&gt;"",E137&lt;&gt;""),D137*60+E137,"")</f>
        <v/>
      </c>
    </row>
    <row r="138">
      <c r="A138" s="29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22">
        <f>IF(AND(D138&lt;&gt;"",E138&lt;&gt;""),D138*60+E138,"")</f>
        <v/>
      </c>
    </row>
    <row r="139">
      <c r="A139" s="29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22">
        <f>IF(AND(D139&lt;&gt;"",E139&lt;&gt;""),D139*60+E139,"")</f>
        <v/>
      </c>
    </row>
    <row r="140">
      <c r="A140" s="29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22">
        <f>IF(AND(D140&lt;&gt;"",E140&lt;&gt;""),D140*60+E140,"")</f>
        <v/>
      </c>
    </row>
    <row r="141">
      <c r="A141" s="29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22">
        <f>IF(AND(D141&lt;&gt;"",E141&lt;&gt;""),D141*60+E141,"")</f>
        <v/>
      </c>
    </row>
    <row r="142">
      <c r="A142" s="29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22">
        <f>IF(AND(D142&lt;&gt;"",E142&lt;&gt;""),D142*60+E142,"")</f>
        <v/>
      </c>
    </row>
    <row r="143">
      <c r="A143" s="29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22">
        <f>IF(AND(D143&lt;&gt;"",E143&lt;&gt;""),D143*60+E143,"")</f>
        <v/>
      </c>
    </row>
    <row r="144">
      <c r="A144" s="29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22">
        <f>IF(AND(D144&lt;&gt;"",E144&lt;&gt;""),D144*60+E144,"")</f>
        <v/>
      </c>
    </row>
    <row r="145">
      <c r="A145" s="29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22">
        <f>IF(AND(D145&lt;&gt;"",E145&lt;&gt;""),D145*60+E145,"")</f>
        <v/>
      </c>
    </row>
    <row r="146">
      <c r="A146" s="29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22">
        <f>IF(AND(D146&lt;&gt;"",E146&lt;&gt;""),D146*60+E146,"")</f>
        <v/>
      </c>
    </row>
    <row r="147">
      <c r="A147" s="29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22">
        <f>IF(AND(D147&lt;&gt;"",E147&lt;&gt;""),D147*60+E147,"")</f>
        <v/>
      </c>
    </row>
    <row r="148">
      <c r="A148" s="29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22">
        <f>IF(AND(D148&lt;&gt;"",E148&lt;&gt;""),D148*60+E148,"")</f>
        <v/>
      </c>
    </row>
    <row r="149">
      <c r="A149" s="29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22">
        <f>IF(AND(D149&lt;&gt;"",E149&lt;&gt;""),D149*60+E149,"")</f>
        <v/>
      </c>
    </row>
    <row r="150">
      <c r="A150" s="29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22">
        <f>IF(AND(D150&lt;&gt;"",E150&lt;&gt;""),D150*60+E150,"")</f>
        <v/>
      </c>
    </row>
    <row r="151">
      <c r="A151" s="29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22">
        <f>IF(AND(D151&lt;&gt;"",E151&lt;&gt;""),D151*60+E151,"")</f>
        <v/>
      </c>
    </row>
    <row r="152">
      <c r="A152" s="29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22">
        <f>IF(AND(D152&lt;&gt;"",E152&lt;&gt;""),D152*60+E152,"")</f>
        <v/>
      </c>
    </row>
    <row r="153">
      <c r="A153" s="29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22">
        <f>IF(AND(D153&lt;&gt;"",E153&lt;&gt;""),D153*60+E153,"")</f>
        <v/>
      </c>
    </row>
    <row r="154">
      <c r="A154" s="29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22">
        <f>IF(AND(D154&lt;&gt;"",E154&lt;&gt;""),D154*60+E154,"")</f>
        <v/>
      </c>
    </row>
  </sheetData>
  <dataValidations count="2">
    <dataValidation sqref="I5:I154" showDropDown="0" showInputMessage="0" showErrorMessage="0" allowBlank="1" type="whole" operator="between">
      <formula1>1</formula1>
      <formula2>5</formula2>
    </dataValidation>
    <dataValidation sqref="K5:K154" showDropDown="0" showInputMessage="0" showErrorMessage="0" allowBlank="1" type="whole" operator="between">
      <formula1>0</formula1>
      <formula2>10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E6A23C"/>
    <outlinePr summaryBelow="1" summaryRight="1"/>
    <pageSetUpPr/>
  </sheetPr>
  <dimension ref="A1:S1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38" customWidth="1" min="3" max="3"/>
    <col width="34" customWidth="1" min="4" max="4"/>
    <col width="9" customWidth="1" min="5" max="5"/>
    <col width="11" customWidth="1" min="6" max="6"/>
    <col width="9" customWidth="1" min="7" max="7"/>
    <col width="1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Меню на неделю: он и жена</t>
        </is>
      </c>
    </row>
    <row r="2">
      <c r="A2" s="2" t="inlineStr">
        <is>
          <t>Граммы подгоняются под твою норму ккал из листа «Расчёт». Продукты берутся из листа «Продукты».</t>
        </is>
      </c>
    </row>
    <row r="4">
      <c r="A4" s="15" t="inlineStr">
        <is>
          <t>День</t>
        </is>
      </c>
      <c r="B4" s="15" t="inlineStr">
        <is>
          <t>Приём</t>
        </is>
      </c>
      <c r="C4" s="15" t="inlineStr">
        <is>
          <t>Блюдо</t>
        </is>
      </c>
      <c r="D4" s="15" t="inlineStr">
        <is>
          <t>Продукт</t>
        </is>
      </c>
      <c r="E4" s="15" t="inlineStr">
        <is>
          <t>База, г</t>
        </is>
      </c>
      <c r="F4" s="15" t="inlineStr">
        <is>
          <t>Множитель</t>
        </is>
      </c>
      <c r="G4" s="15" t="inlineStr">
        <is>
          <t>Он, г</t>
        </is>
      </c>
      <c r="H4" s="15" t="inlineStr">
        <is>
          <t>Жена, г</t>
        </is>
      </c>
      <c r="I4" s="15" t="inlineStr">
        <is>
          <t>Ккал (он)</t>
        </is>
      </c>
      <c r="J4" s="15" t="inlineStr">
        <is>
          <t>Белок (он)</t>
        </is>
      </c>
      <c r="K4" s="15" t="inlineStr">
        <is>
          <t>Жиры (он)</t>
        </is>
      </c>
      <c r="L4" s="15" t="inlineStr">
        <is>
          <t>Углев. (он)</t>
        </is>
      </c>
      <c r="N4" s="3" t="inlineStr">
        <is>
          <t>Итоги дня</t>
        </is>
      </c>
    </row>
    <row r="5">
      <c r="A5" s="22" t="inlineStr">
        <is>
          <t>Пн</t>
        </is>
      </c>
      <c r="B5" s="22" t="inlineStr">
        <is>
          <t>Завтрак</t>
        </is>
      </c>
      <c r="C5" s="22" t="inlineStr">
        <is>
          <t>Овсянка на молоке с бананом</t>
        </is>
      </c>
      <c r="D5" s="22" t="inlineStr">
        <is>
          <t>Овсяные хлопья (сухие)</t>
        </is>
      </c>
      <c r="E5" s="22" t="n">
        <v>70</v>
      </c>
      <c r="F5" s="31">
        <f>MIN(1.7,MAX(0.65,'Расчёт'!$B$17/2170.5))</f>
        <v/>
      </c>
      <c r="G5" s="22">
        <f>ROUND(E5*F5/5,0)*5</f>
        <v/>
      </c>
      <c r="H5" s="22">
        <f>ROUND(E5*F5*'Расчёт'!$B$10/5,0)*5</f>
        <v/>
      </c>
      <c r="I5" s="32">
        <f>G5*VLOOKUP($D5,'Продукты'!$A$4:$G$34,2,FALSE)/100</f>
        <v/>
      </c>
      <c r="J5" s="32">
        <f>G5*VLOOKUP($D5,'Продукты'!$A$4:$G$34,3,FALSE)/100</f>
        <v/>
      </c>
      <c r="K5" s="32">
        <f>G5*VLOOKUP($D5,'Продукты'!$A$4:$G$34,4,FALSE)/100</f>
        <v/>
      </c>
      <c r="L5" s="32">
        <f>G5*VLOOKUP($D5,'Продукты'!$A$4:$G$34,5,FALSE)/100</f>
        <v/>
      </c>
      <c r="N5" s="28" t="inlineStr">
        <is>
          <t>День</t>
        </is>
      </c>
      <c r="O5" s="28" t="inlineStr">
        <is>
          <t>Ккал</t>
        </is>
      </c>
      <c r="P5" s="28" t="inlineStr">
        <is>
          <t>Белок, г</t>
        </is>
      </c>
      <c r="Q5" s="28" t="inlineStr">
        <is>
          <t>Жиры, г</t>
        </is>
      </c>
      <c r="R5" s="28" t="inlineStr">
        <is>
          <t>Углев., г</t>
        </is>
      </c>
      <c r="S5" s="28" t="inlineStr">
        <is>
          <t>Норма ккал</t>
        </is>
      </c>
    </row>
    <row r="6">
      <c r="A6" s="22" t="inlineStr">
        <is>
          <t>Пн</t>
        </is>
      </c>
      <c r="B6" s="22" t="inlineStr">
        <is>
          <t>Завтрак</t>
        </is>
      </c>
      <c r="C6" s="22" t="inlineStr">
        <is>
          <t>Овсянка на молоке с бананом</t>
        </is>
      </c>
      <c r="D6" s="22" t="inlineStr">
        <is>
          <t>Молоко 2.5%</t>
        </is>
      </c>
      <c r="E6" s="22" t="n">
        <v>200</v>
      </c>
      <c r="F6" s="31">
        <f>MIN(1.7,MAX(0.65,'Расчёт'!$B$17/2170.5))</f>
        <v/>
      </c>
      <c r="G6" s="22">
        <f>ROUND(E6*F6/5,0)*5</f>
        <v/>
      </c>
      <c r="H6" s="22">
        <f>ROUND(E6*F6*'Расчёт'!$B$10/5,0)*5</f>
        <v/>
      </c>
      <c r="I6" s="32">
        <f>G6*VLOOKUP($D6,'Продукты'!$A$4:$G$34,2,FALSE)/100</f>
        <v/>
      </c>
      <c r="J6" s="32">
        <f>G6*VLOOKUP($D6,'Продукты'!$A$4:$G$34,3,FALSE)/100</f>
        <v/>
      </c>
      <c r="K6" s="32">
        <f>G6*VLOOKUP($D6,'Продукты'!$A$4:$G$34,4,FALSE)/100</f>
        <v/>
      </c>
      <c r="L6" s="32">
        <f>G6*VLOOKUP($D6,'Продукты'!$A$4:$G$34,5,FALSE)/100</f>
        <v/>
      </c>
      <c r="N6" s="22" t="inlineStr">
        <is>
          <t>Пн</t>
        </is>
      </c>
      <c r="O6" s="32">
        <f>SUMIFS(I$5:I$149,$A$5:$A$149,$N6)</f>
        <v/>
      </c>
      <c r="P6" s="32">
        <f>SUMIFS(J$5:J$149,$A$5:$A$149,$N6)</f>
        <v/>
      </c>
      <c r="Q6" s="32">
        <f>SUMIFS(K$5:K$149,$A$5:$A$149,$N6)</f>
        <v/>
      </c>
      <c r="R6" s="32">
        <f>SUMIFS(L$5:L$149,$A$5:$A$149,$N6)</f>
        <v/>
      </c>
      <c r="S6" s="22">
        <f>'Расчёт'!$B$17</f>
        <v/>
      </c>
    </row>
    <row r="7">
      <c r="A7" s="22" t="inlineStr">
        <is>
          <t>Пн</t>
        </is>
      </c>
      <c r="B7" s="22" t="inlineStr">
        <is>
          <t>Завтрак</t>
        </is>
      </c>
      <c r="C7" s="22" t="inlineStr">
        <is>
          <t>Овсянка на молоке с бананом</t>
        </is>
      </c>
      <c r="D7" s="22" t="inlineStr">
        <is>
          <t>Бананы (очищенные)</t>
        </is>
      </c>
      <c r="E7" s="22" t="n">
        <v>100</v>
      </c>
      <c r="F7" s="31">
        <f>MIN(1.7,MAX(0.65,'Расчёт'!$B$17/2170.5))</f>
        <v/>
      </c>
      <c r="G7" s="22">
        <f>ROUND(E7*F7/5,0)*5</f>
        <v/>
      </c>
      <c r="H7" s="22">
        <f>ROUND(E7*F7*'Расчёт'!$B$10/5,0)*5</f>
        <v/>
      </c>
      <c r="I7" s="32">
        <f>G7*VLOOKUP($D7,'Продукты'!$A$4:$G$34,2,FALSE)/100</f>
        <v/>
      </c>
      <c r="J7" s="32">
        <f>G7*VLOOKUP($D7,'Продукты'!$A$4:$G$34,3,FALSE)/100</f>
        <v/>
      </c>
      <c r="K7" s="32">
        <f>G7*VLOOKUP($D7,'Продукты'!$A$4:$G$34,4,FALSE)/100</f>
        <v/>
      </c>
      <c r="L7" s="32">
        <f>G7*VLOOKUP($D7,'Продукты'!$A$4:$G$34,5,FALSE)/100</f>
        <v/>
      </c>
      <c r="N7" s="22" t="inlineStr">
        <is>
          <t>Вт</t>
        </is>
      </c>
      <c r="O7" s="32">
        <f>SUMIFS(I$5:I$149,$A$5:$A$149,$N7)</f>
        <v/>
      </c>
      <c r="P7" s="32">
        <f>SUMIFS(J$5:J$149,$A$5:$A$149,$N7)</f>
        <v/>
      </c>
      <c r="Q7" s="32">
        <f>SUMIFS(K$5:K$149,$A$5:$A$149,$N7)</f>
        <v/>
      </c>
      <c r="R7" s="32">
        <f>SUMIFS(L$5:L$149,$A$5:$A$149,$N7)</f>
        <v/>
      </c>
      <c r="S7" s="22">
        <f>'Расчёт'!$B$17</f>
        <v/>
      </c>
    </row>
    <row r="8">
      <c r="A8" s="22" t="inlineStr">
        <is>
          <t>Пн</t>
        </is>
      </c>
      <c r="B8" s="22" t="inlineStr">
        <is>
          <t>Завтрак</t>
        </is>
      </c>
      <c r="C8" s="22" t="inlineStr">
        <is>
          <t>Овсянка на молоке с бананом</t>
        </is>
      </c>
      <c r="D8" s="22" t="inlineStr">
        <is>
          <t>Грецкие орехи</t>
        </is>
      </c>
      <c r="E8" s="22" t="n">
        <v>10</v>
      </c>
      <c r="F8" s="31">
        <f>MIN(1.7,MAX(0.65,'Расчёт'!$B$17/2170.5))</f>
        <v/>
      </c>
      <c r="G8" s="22">
        <f>ROUND(E8*F8/5,0)*5</f>
        <v/>
      </c>
      <c r="H8" s="22">
        <f>ROUND(E8*F8*'Расчёт'!$B$10/5,0)*5</f>
        <v/>
      </c>
      <c r="I8" s="32">
        <f>G8*VLOOKUP($D8,'Продукты'!$A$4:$G$34,2,FALSE)/100</f>
        <v/>
      </c>
      <c r="J8" s="32">
        <f>G8*VLOOKUP($D8,'Продукты'!$A$4:$G$34,3,FALSE)/100</f>
        <v/>
      </c>
      <c r="K8" s="32">
        <f>G8*VLOOKUP($D8,'Продукты'!$A$4:$G$34,4,FALSE)/100</f>
        <v/>
      </c>
      <c r="L8" s="32">
        <f>G8*VLOOKUP($D8,'Продукты'!$A$4:$G$34,5,FALSE)/100</f>
        <v/>
      </c>
      <c r="N8" s="22" t="inlineStr">
        <is>
          <t>Ср</t>
        </is>
      </c>
      <c r="O8" s="32">
        <f>SUMIFS(I$5:I$149,$A$5:$A$149,$N8)</f>
        <v/>
      </c>
      <c r="P8" s="32">
        <f>SUMIFS(J$5:J$149,$A$5:$A$149,$N8)</f>
        <v/>
      </c>
      <c r="Q8" s="32">
        <f>SUMIFS(K$5:K$149,$A$5:$A$149,$N8)</f>
        <v/>
      </c>
      <c r="R8" s="32">
        <f>SUMIFS(L$5:L$149,$A$5:$A$149,$N8)</f>
        <v/>
      </c>
      <c r="S8" s="22">
        <f>'Расчёт'!$B$17</f>
        <v/>
      </c>
    </row>
    <row r="9">
      <c r="A9" s="22" t="inlineStr">
        <is>
          <t>Пн</t>
        </is>
      </c>
      <c r="B9" s="22" t="inlineStr">
        <is>
          <t>Завтрак</t>
        </is>
      </c>
      <c r="C9" s="22" t="inlineStr">
        <is>
          <t>Добавка</t>
        </is>
      </c>
      <c r="D9" s="22" t="inlineStr">
        <is>
          <t>Яйцо</t>
        </is>
      </c>
      <c r="E9" s="22" t="n">
        <v>110</v>
      </c>
      <c r="F9" s="31">
        <f>MIN(1.7,MAX(0.65,'Расчёт'!$B$17/2170.5))</f>
        <v/>
      </c>
      <c r="G9" s="22">
        <f>ROUND(E9*F9/5,0)*5</f>
        <v/>
      </c>
      <c r="H9" s="22">
        <f>ROUND(E9*F9*'Расчёт'!$B$10/5,0)*5</f>
        <v/>
      </c>
      <c r="I9" s="32">
        <f>G9*VLOOKUP($D9,'Продукты'!$A$4:$G$34,2,FALSE)/100</f>
        <v/>
      </c>
      <c r="J9" s="32">
        <f>G9*VLOOKUP($D9,'Продукты'!$A$4:$G$34,3,FALSE)/100</f>
        <v/>
      </c>
      <c r="K9" s="32">
        <f>G9*VLOOKUP($D9,'Продукты'!$A$4:$G$34,4,FALSE)/100</f>
        <v/>
      </c>
      <c r="L9" s="32">
        <f>G9*VLOOKUP($D9,'Продукты'!$A$4:$G$34,5,FALSE)/100</f>
        <v/>
      </c>
      <c r="N9" s="22" t="inlineStr">
        <is>
          <t>Чт</t>
        </is>
      </c>
      <c r="O9" s="32">
        <f>SUMIFS(I$5:I$149,$A$5:$A$149,$N9)</f>
        <v/>
      </c>
      <c r="P9" s="32">
        <f>SUMIFS(J$5:J$149,$A$5:$A$149,$N9)</f>
        <v/>
      </c>
      <c r="Q9" s="32">
        <f>SUMIFS(K$5:K$149,$A$5:$A$149,$N9)</f>
        <v/>
      </c>
      <c r="R9" s="32">
        <f>SUMIFS(L$5:L$149,$A$5:$A$149,$N9)</f>
        <v/>
      </c>
      <c r="S9" s="22">
        <f>'Расчёт'!$B$17</f>
        <v/>
      </c>
    </row>
    <row r="10">
      <c r="A10" s="22" t="inlineStr">
        <is>
          <t>Пн</t>
        </is>
      </c>
      <c r="B10" s="22" t="inlineStr">
        <is>
          <t>Обед</t>
        </is>
      </c>
      <c r="C10" s="22" t="inlineStr">
        <is>
          <t>Гречка с тушёной курицей и капустой</t>
        </is>
      </c>
      <c r="D10" s="22" t="inlineStr">
        <is>
          <t>Гречка (сухая)</t>
        </is>
      </c>
      <c r="E10" s="22" t="n">
        <v>70</v>
      </c>
      <c r="F10" s="31">
        <f>MIN(1.7,MAX(0.65,'Расчёт'!$B$17/2170.5))</f>
        <v/>
      </c>
      <c r="G10" s="22">
        <f>ROUND(E10*F10/5,0)*5</f>
        <v/>
      </c>
      <c r="H10" s="22">
        <f>ROUND(E10*F10*'Расчёт'!$B$10/5,0)*5</f>
        <v/>
      </c>
      <c r="I10" s="32">
        <f>G10*VLOOKUP($D10,'Продукты'!$A$4:$G$34,2,FALSE)/100</f>
        <v/>
      </c>
      <c r="J10" s="32">
        <f>G10*VLOOKUP($D10,'Продукты'!$A$4:$G$34,3,FALSE)/100</f>
        <v/>
      </c>
      <c r="K10" s="32">
        <f>G10*VLOOKUP($D10,'Продукты'!$A$4:$G$34,4,FALSE)/100</f>
        <v/>
      </c>
      <c r="L10" s="32">
        <f>G10*VLOOKUP($D10,'Продукты'!$A$4:$G$34,5,FALSE)/100</f>
        <v/>
      </c>
      <c r="N10" s="22" t="inlineStr">
        <is>
          <t>Пт</t>
        </is>
      </c>
      <c r="O10" s="32">
        <f>SUMIFS(I$5:I$149,$A$5:$A$149,$N10)</f>
        <v/>
      </c>
      <c r="P10" s="32">
        <f>SUMIFS(J$5:J$149,$A$5:$A$149,$N10)</f>
        <v/>
      </c>
      <c r="Q10" s="32">
        <f>SUMIFS(K$5:K$149,$A$5:$A$149,$N10)</f>
        <v/>
      </c>
      <c r="R10" s="32">
        <f>SUMIFS(L$5:L$149,$A$5:$A$149,$N10)</f>
        <v/>
      </c>
      <c r="S10" s="22">
        <f>'Расчёт'!$B$17</f>
        <v/>
      </c>
    </row>
    <row r="11">
      <c r="A11" s="22" t="inlineStr">
        <is>
          <t>Пн</t>
        </is>
      </c>
      <c r="B11" s="22" t="inlineStr">
        <is>
          <t>Обед</t>
        </is>
      </c>
      <c r="C11" s="22" t="inlineStr">
        <is>
          <t>Гречка с тушёной курицей и капустой</t>
        </is>
      </c>
      <c r="D11" s="22" t="inlineStr">
        <is>
          <t>Куриные бёдра/голень без кожи</t>
        </is>
      </c>
      <c r="E11" s="22" t="n">
        <v>170</v>
      </c>
      <c r="F11" s="31">
        <f>MIN(1.7,MAX(0.65,'Расчёт'!$B$17/2170.5))</f>
        <v/>
      </c>
      <c r="G11" s="22">
        <f>ROUND(E11*F11/5,0)*5</f>
        <v/>
      </c>
      <c r="H11" s="22">
        <f>ROUND(E11*F11*'Расчёт'!$B$10/5,0)*5</f>
        <v/>
      </c>
      <c r="I11" s="32">
        <f>G11*VLOOKUP($D11,'Продукты'!$A$4:$G$34,2,FALSE)/100</f>
        <v/>
      </c>
      <c r="J11" s="32">
        <f>G11*VLOOKUP($D11,'Продукты'!$A$4:$G$34,3,FALSE)/100</f>
        <v/>
      </c>
      <c r="K11" s="32">
        <f>G11*VLOOKUP($D11,'Продукты'!$A$4:$G$34,4,FALSE)/100</f>
        <v/>
      </c>
      <c r="L11" s="32">
        <f>G11*VLOOKUP($D11,'Продукты'!$A$4:$G$34,5,FALSE)/100</f>
        <v/>
      </c>
      <c r="N11" s="22" t="inlineStr">
        <is>
          <t>Сб</t>
        </is>
      </c>
      <c r="O11" s="32">
        <f>SUMIFS(I$5:I$149,$A$5:$A$149,$N11)</f>
        <v/>
      </c>
      <c r="P11" s="32">
        <f>SUMIFS(J$5:J$149,$A$5:$A$149,$N11)</f>
        <v/>
      </c>
      <c r="Q11" s="32">
        <f>SUMIFS(K$5:K$149,$A$5:$A$149,$N11)</f>
        <v/>
      </c>
      <c r="R11" s="32">
        <f>SUMIFS(L$5:L$149,$A$5:$A$149,$N11)</f>
        <v/>
      </c>
      <c r="S11" s="22">
        <f>'Расчёт'!$B$17</f>
        <v/>
      </c>
    </row>
    <row r="12">
      <c r="A12" s="22" t="inlineStr">
        <is>
          <t>Пн</t>
        </is>
      </c>
      <c r="B12" s="22" t="inlineStr">
        <is>
          <t>Обед</t>
        </is>
      </c>
      <c r="C12" s="22" t="inlineStr">
        <is>
          <t>Гречка с тушёной курицей и капустой</t>
        </is>
      </c>
      <c r="D12" s="22" t="inlineStr">
        <is>
          <t>Капуста белокочанная</t>
        </is>
      </c>
      <c r="E12" s="22" t="n">
        <v>150</v>
      </c>
      <c r="F12" s="31">
        <f>MIN(1.7,MAX(0.65,'Расчёт'!$B$17/2170.5))</f>
        <v/>
      </c>
      <c r="G12" s="22">
        <f>ROUND(E12*F12/5,0)*5</f>
        <v/>
      </c>
      <c r="H12" s="22">
        <f>ROUND(E12*F12*'Расчёт'!$B$10/5,0)*5</f>
        <v/>
      </c>
      <c r="I12" s="32">
        <f>G12*VLOOKUP($D12,'Продукты'!$A$4:$G$34,2,FALSE)/100</f>
        <v/>
      </c>
      <c r="J12" s="32">
        <f>G12*VLOOKUP($D12,'Продукты'!$A$4:$G$34,3,FALSE)/100</f>
        <v/>
      </c>
      <c r="K12" s="32">
        <f>G12*VLOOKUP($D12,'Продукты'!$A$4:$G$34,4,FALSE)/100</f>
        <v/>
      </c>
      <c r="L12" s="32">
        <f>G12*VLOOKUP($D12,'Продукты'!$A$4:$G$34,5,FALSE)/100</f>
        <v/>
      </c>
      <c r="N12" s="22" t="inlineStr">
        <is>
          <t>Вс</t>
        </is>
      </c>
      <c r="O12" s="32">
        <f>SUMIFS(I$5:I$149,$A$5:$A$149,$N12)</f>
        <v/>
      </c>
      <c r="P12" s="32">
        <f>SUMIFS(J$5:J$149,$A$5:$A$149,$N12)</f>
        <v/>
      </c>
      <c r="Q12" s="32">
        <f>SUMIFS(K$5:K$149,$A$5:$A$149,$N12)</f>
        <v/>
      </c>
      <c r="R12" s="32">
        <f>SUMIFS(L$5:L$149,$A$5:$A$149,$N12)</f>
        <v/>
      </c>
      <c r="S12" s="22">
        <f>'Расчёт'!$B$17</f>
        <v/>
      </c>
    </row>
    <row r="13">
      <c r="A13" s="22" t="inlineStr">
        <is>
          <t>Пн</t>
        </is>
      </c>
      <c r="B13" s="22" t="inlineStr">
        <is>
          <t>Обед</t>
        </is>
      </c>
      <c r="C13" s="22" t="inlineStr">
        <is>
          <t>Гречка с тушёной курицей и капустой</t>
        </is>
      </c>
      <c r="D13" s="22" t="inlineStr">
        <is>
          <t>Морковь</t>
        </is>
      </c>
      <c r="E13" s="22" t="n">
        <v>40</v>
      </c>
      <c r="F13" s="31">
        <f>MIN(1.7,MAX(0.65,'Расчёт'!$B$17/2170.5))</f>
        <v/>
      </c>
      <c r="G13" s="22">
        <f>ROUND(E13*F13/5,0)*5</f>
        <v/>
      </c>
      <c r="H13" s="22">
        <f>ROUND(E13*F13*'Расчёт'!$B$10/5,0)*5</f>
        <v/>
      </c>
      <c r="I13" s="32">
        <f>G13*VLOOKUP($D13,'Продукты'!$A$4:$G$34,2,FALSE)/100</f>
        <v/>
      </c>
      <c r="J13" s="32">
        <f>G13*VLOOKUP($D13,'Продукты'!$A$4:$G$34,3,FALSE)/100</f>
        <v/>
      </c>
      <c r="K13" s="32">
        <f>G13*VLOOKUP($D13,'Продукты'!$A$4:$G$34,4,FALSE)/100</f>
        <v/>
      </c>
      <c r="L13" s="32">
        <f>G13*VLOOKUP($D13,'Продукты'!$A$4:$G$34,5,FALSE)/100</f>
        <v/>
      </c>
    </row>
    <row r="14">
      <c r="A14" s="22" t="inlineStr">
        <is>
          <t>Пн</t>
        </is>
      </c>
      <c r="B14" s="22" t="inlineStr">
        <is>
          <t>Обед</t>
        </is>
      </c>
      <c r="C14" s="22" t="inlineStr">
        <is>
          <t>Гречка с тушёной курицей и капустой</t>
        </is>
      </c>
      <c r="D14" s="22" t="inlineStr">
        <is>
          <t>Лук репчатый</t>
        </is>
      </c>
      <c r="E14" s="22" t="n">
        <v>30</v>
      </c>
      <c r="F14" s="31">
        <f>MIN(1.7,MAX(0.65,'Расчёт'!$B$17/2170.5))</f>
        <v/>
      </c>
      <c r="G14" s="22">
        <f>ROUND(E14*F14/5,0)*5</f>
        <v/>
      </c>
      <c r="H14" s="22">
        <f>ROUND(E14*F14*'Расчёт'!$B$10/5,0)*5</f>
        <v/>
      </c>
      <c r="I14" s="32">
        <f>G14*VLOOKUP($D14,'Продукты'!$A$4:$G$34,2,FALSE)/100</f>
        <v/>
      </c>
      <c r="J14" s="32">
        <f>G14*VLOOKUP($D14,'Продукты'!$A$4:$G$34,3,FALSE)/100</f>
        <v/>
      </c>
      <c r="K14" s="32">
        <f>G14*VLOOKUP($D14,'Продукты'!$A$4:$G$34,4,FALSE)/100</f>
        <v/>
      </c>
      <c r="L14" s="32">
        <f>G14*VLOOKUP($D14,'Продукты'!$A$4:$G$34,5,FALSE)/100</f>
        <v/>
      </c>
    </row>
    <row r="15">
      <c r="A15" s="22" t="inlineStr">
        <is>
          <t>Пн</t>
        </is>
      </c>
      <c r="B15" s="22" t="inlineStr">
        <is>
          <t>Обед</t>
        </is>
      </c>
      <c r="C15" s="22" t="inlineStr">
        <is>
          <t>Гречка с тушёной курицей и капустой</t>
        </is>
      </c>
      <c r="D15" s="22" t="inlineStr">
        <is>
          <t>Масло растительное</t>
        </is>
      </c>
      <c r="E15" s="22" t="n">
        <v>5</v>
      </c>
      <c r="F15" s="31">
        <f>MIN(1.7,MAX(0.65,'Расчёт'!$B$17/2170.5))</f>
        <v/>
      </c>
      <c r="G15" s="22">
        <f>ROUND(E15*F15/5,0)*5</f>
        <v/>
      </c>
      <c r="H15" s="22">
        <f>ROUND(E15*F15*'Расчёт'!$B$10/5,0)*5</f>
        <v/>
      </c>
      <c r="I15" s="32">
        <f>G15*VLOOKUP($D15,'Продукты'!$A$4:$G$34,2,FALSE)/100</f>
        <v/>
      </c>
      <c r="J15" s="32">
        <f>G15*VLOOKUP($D15,'Продукты'!$A$4:$G$34,3,FALSE)/100</f>
        <v/>
      </c>
      <c r="K15" s="32">
        <f>G15*VLOOKUP($D15,'Продукты'!$A$4:$G$34,4,FALSE)/100</f>
        <v/>
      </c>
      <c r="L15" s="32">
        <f>G15*VLOOKUP($D15,'Продукты'!$A$4:$G$34,5,FALSE)/100</f>
        <v/>
      </c>
    </row>
    <row r="16">
      <c r="A16" s="22" t="inlineStr">
        <is>
          <t>Пн</t>
        </is>
      </c>
      <c r="B16" s="22" t="inlineStr">
        <is>
          <t>Перекус</t>
        </is>
      </c>
      <c r="C16" s="22" t="inlineStr">
        <is>
          <t>Кефир с бананом</t>
        </is>
      </c>
      <c r="D16" s="22" t="inlineStr">
        <is>
          <t>Кефир 1%</t>
        </is>
      </c>
      <c r="E16" s="22" t="n">
        <v>300</v>
      </c>
      <c r="F16" s="31">
        <f>MIN(1.7,MAX(0.65,'Расчёт'!$B$17/2170.5))</f>
        <v/>
      </c>
      <c r="G16" s="22">
        <f>ROUND(E16*F16/5,0)*5</f>
        <v/>
      </c>
      <c r="H16" s="22">
        <f>ROUND(E16*F16*'Расчёт'!$B$10/5,0)*5</f>
        <v/>
      </c>
      <c r="I16" s="32">
        <f>G16*VLOOKUP($D16,'Продукты'!$A$4:$G$34,2,FALSE)/100</f>
        <v/>
      </c>
      <c r="J16" s="32">
        <f>G16*VLOOKUP($D16,'Продукты'!$A$4:$G$34,3,FALSE)/100</f>
        <v/>
      </c>
      <c r="K16" s="32">
        <f>G16*VLOOKUP($D16,'Продукты'!$A$4:$G$34,4,FALSE)/100</f>
        <v/>
      </c>
      <c r="L16" s="32">
        <f>G16*VLOOKUP($D16,'Продукты'!$A$4:$G$34,5,FALSE)/100</f>
        <v/>
      </c>
    </row>
    <row r="17">
      <c r="A17" s="22" t="inlineStr">
        <is>
          <t>Пн</t>
        </is>
      </c>
      <c r="B17" s="22" t="inlineStr">
        <is>
          <t>Перекус</t>
        </is>
      </c>
      <c r="C17" s="22" t="inlineStr">
        <is>
          <t>Кефир с бананом</t>
        </is>
      </c>
      <c r="D17" s="22" t="inlineStr">
        <is>
          <t>Бананы (очищенные)</t>
        </is>
      </c>
      <c r="E17" s="22" t="n">
        <v>110</v>
      </c>
      <c r="F17" s="31">
        <f>MIN(1.7,MAX(0.65,'Расчёт'!$B$17/2170.5))</f>
        <v/>
      </c>
      <c r="G17" s="22">
        <f>ROUND(E17*F17/5,0)*5</f>
        <v/>
      </c>
      <c r="H17" s="22">
        <f>ROUND(E17*F17*'Расчёт'!$B$10/5,0)*5</f>
        <v/>
      </c>
      <c r="I17" s="32">
        <f>G17*VLOOKUP($D17,'Продукты'!$A$4:$G$34,2,FALSE)/100</f>
        <v/>
      </c>
      <c r="J17" s="32">
        <f>G17*VLOOKUP($D17,'Продукты'!$A$4:$G$34,3,FALSE)/100</f>
        <v/>
      </c>
      <c r="K17" s="32">
        <f>G17*VLOOKUP($D17,'Продукты'!$A$4:$G$34,4,FALSE)/100</f>
        <v/>
      </c>
      <c r="L17" s="32">
        <f>G17*VLOOKUP($D17,'Продукты'!$A$4:$G$34,5,FALSE)/100</f>
        <v/>
      </c>
    </row>
    <row r="18">
      <c r="A18" s="22" t="inlineStr">
        <is>
          <t>Пн</t>
        </is>
      </c>
      <c r="B18" s="22" t="inlineStr">
        <is>
          <t>Перекус</t>
        </is>
      </c>
      <c r="C18" s="22" t="inlineStr">
        <is>
          <t>Кефир с бананом</t>
        </is>
      </c>
      <c r="D18" s="22" t="inlineStr">
        <is>
          <t>Хлеб цельнозерновой/ржаной</t>
        </is>
      </c>
      <c r="E18" s="22" t="n">
        <v>30</v>
      </c>
      <c r="F18" s="31">
        <f>MIN(1.7,MAX(0.65,'Расчёт'!$B$17/2170.5))</f>
        <v/>
      </c>
      <c r="G18" s="22">
        <f>ROUND(E18*F18/5,0)*5</f>
        <v/>
      </c>
      <c r="H18" s="22">
        <f>ROUND(E18*F18*'Расчёт'!$B$10/5,0)*5</f>
        <v/>
      </c>
      <c r="I18" s="32">
        <f>G18*VLOOKUP($D18,'Продукты'!$A$4:$G$34,2,FALSE)/100</f>
        <v/>
      </c>
      <c r="J18" s="32">
        <f>G18*VLOOKUP($D18,'Продукты'!$A$4:$G$34,3,FALSE)/100</f>
        <v/>
      </c>
      <c r="K18" s="32">
        <f>G18*VLOOKUP($D18,'Продукты'!$A$4:$G$34,4,FALSE)/100</f>
        <v/>
      </c>
      <c r="L18" s="32">
        <f>G18*VLOOKUP($D18,'Продукты'!$A$4:$G$34,5,FALSE)/100</f>
        <v/>
      </c>
    </row>
    <row r="19">
      <c r="A19" s="22" t="inlineStr">
        <is>
          <t>Пн</t>
        </is>
      </c>
      <c r="B19" s="22" t="inlineStr">
        <is>
          <t>Ужин</t>
        </is>
      </c>
      <c r="C19" s="22" t="inlineStr">
        <is>
          <t>Минтай с картофелем, запечённые</t>
        </is>
      </c>
      <c r="D19" s="22" t="inlineStr">
        <is>
          <t>Белая рыба (минтай, хек)</t>
        </is>
      </c>
      <c r="E19" s="22" t="n">
        <v>200</v>
      </c>
      <c r="F19" s="31">
        <f>MIN(1.7,MAX(0.65,'Расчёт'!$B$17/2170.5))</f>
        <v/>
      </c>
      <c r="G19" s="22">
        <f>ROUND(E19*F19/5,0)*5</f>
        <v/>
      </c>
      <c r="H19" s="22">
        <f>ROUND(E19*F19*'Расчёт'!$B$10/5,0)*5</f>
        <v/>
      </c>
      <c r="I19" s="32">
        <f>G19*VLOOKUP($D19,'Продукты'!$A$4:$G$34,2,FALSE)/100</f>
        <v/>
      </c>
      <c r="J19" s="32">
        <f>G19*VLOOKUP($D19,'Продукты'!$A$4:$G$34,3,FALSE)/100</f>
        <v/>
      </c>
      <c r="K19" s="32">
        <f>G19*VLOOKUP($D19,'Продукты'!$A$4:$G$34,4,FALSE)/100</f>
        <v/>
      </c>
      <c r="L19" s="32">
        <f>G19*VLOOKUP($D19,'Продукты'!$A$4:$G$34,5,FALSE)/100</f>
        <v/>
      </c>
    </row>
    <row r="20">
      <c r="A20" s="22" t="inlineStr">
        <is>
          <t>Пн</t>
        </is>
      </c>
      <c r="B20" s="22" t="inlineStr">
        <is>
          <t>Ужин</t>
        </is>
      </c>
      <c r="C20" s="22" t="inlineStr">
        <is>
          <t>Минтай с картофелем, запечённые</t>
        </is>
      </c>
      <c r="D20" s="22" t="inlineStr">
        <is>
          <t>Картофель</t>
        </is>
      </c>
      <c r="E20" s="22" t="n">
        <v>300</v>
      </c>
      <c r="F20" s="31">
        <f>MIN(1.7,MAX(0.65,'Расчёт'!$B$17/2170.5))</f>
        <v/>
      </c>
      <c r="G20" s="22">
        <f>ROUND(E20*F20/5,0)*5</f>
        <v/>
      </c>
      <c r="H20" s="22">
        <f>ROUND(E20*F20*'Расчёт'!$B$10/5,0)*5</f>
        <v/>
      </c>
      <c r="I20" s="32">
        <f>G20*VLOOKUP($D20,'Продукты'!$A$4:$G$34,2,FALSE)/100</f>
        <v/>
      </c>
      <c r="J20" s="32">
        <f>G20*VLOOKUP($D20,'Продукты'!$A$4:$G$34,3,FALSE)/100</f>
        <v/>
      </c>
      <c r="K20" s="32">
        <f>G20*VLOOKUP($D20,'Продукты'!$A$4:$G$34,4,FALSE)/100</f>
        <v/>
      </c>
      <c r="L20" s="32">
        <f>G20*VLOOKUP($D20,'Продукты'!$A$4:$G$34,5,FALSE)/100</f>
        <v/>
      </c>
    </row>
    <row r="21">
      <c r="A21" s="22" t="inlineStr">
        <is>
          <t>Пн</t>
        </is>
      </c>
      <c r="B21" s="22" t="inlineStr">
        <is>
          <t>Ужин</t>
        </is>
      </c>
      <c r="C21" s="22" t="inlineStr">
        <is>
          <t>Минтай с картофелем, запечённые</t>
        </is>
      </c>
      <c r="D21" s="22" t="inlineStr">
        <is>
          <t>Масло растительное</t>
        </is>
      </c>
      <c r="E21" s="22" t="n">
        <v>8</v>
      </c>
      <c r="F21" s="31">
        <f>MIN(1.7,MAX(0.65,'Расчёт'!$B$17/2170.5))</f>
        <v/>
      </c>
      <c r="G21" s="22">
        <f>ROUND(E21*F21/5,0)*5</f>
        <v/>
      </c>
      <c r="H21" s="22">
        <f>ROUND(E21*F21*'Расчёт'!$B$10/5,0)*5</f>
        <v/>
      </c>
      <c r="I21" s="32">
        <f>G21*VLOOKUP($D21,'Продукты'!$A$4:$G$34,2,FALSE)/100</f>
        <v/>
      </c>
      <c r="J21" s="32">
        <f>G21*VLOOKUP($D21,'Продукты'!$A$4:$G$34,3,FALSE)/100</f>
        <v/>
      </c>
      <c r="K21" s="32">
        <f>G21*VLOOKUP($D21,'Продукты'!$A$4:$G$34,4,FALSE)/100</f>
        <v/>
      </c>
      <c r="L21" s="32">
        <f>G21*VLOOKUP($D21,'Продукты'!$A$4:$G$34,5,FALSE)/100</f>
        <v/>
      </c>
    </row>
    <row r="22">
      <c r="A22" s="22" t="inlineStr">
        <is>
          <t>Пн</t>
        </is>
      </c>
      <c r="B22" s="22" t="inlineStr">
        <is>
          <t>Ужин</t>
        </is>
      </c>
      <c r="C22" s="22" t="inlineStr">
        <is>
          <t>Минтай с картофелем, запечённые</t>
        </is>
      </c>
      <c r="D22" s="22" t="inlineStr">
        <is>
          <t>Лук репчатый</t>
        </is>
      </c>
      <c r="E22" s="22" t="n">
        <v>30</v>
      </c>
      <c r="F22" s="31">
        <f>MIN(1.7,MAX(0.65,'Расчёт'!$B$17/2170.5))</f>
        <v/>
      </c>
      <c r="G22" s="22">
        <f>ROUND(E22*F22/5,0)*5</f>
        <v/>
      </c>
      <c r="H22" s="22">
        <f>ROUND(E22*F22*'Расчёт'!$B$10/5,0)*5</f>
        <v/>
      </c>
      <c r="I22" s="32">
        <f>G22*VLOOKUP($D22,'Продукты'!$A$4:$G$34,2,FALSE)/100</f>
        <v/>
      </c>
      <c r="J22" s="32">
        <f>G22*VLOOKUP($D22,'Продукты'!$A$4:$G$34,3,FALSE)/100</f>
        <v/>
      </c>
      <c r="K22" s="32">
        <f>G22*VLOOKUP($D22,'Продукты'!$A$4:$G$34,4,FALSE)/100</f>
        <v/>
      </c>
      <c r="L22" s="32">
        <f>G22*VLOOKUP($D22,'Продукты'!$A$4:$G$34,5,FALSE)/100</f>
        <v/>
      </c>
    </row>
    <row r="23">
      <c r="A23" s="22" t="inlineStr">
        <is>
          <t>Пн</t>
        </is>
      </c>
      <c r="B23" s="22" t="inlineStr">
        <is>
          <t>Ужин</t>
        </is>
      </c>
      <c r="C23" s="22" t="inlineStr">
        <is>
          <t>Минтай с картофелем, запечённые</t>
        </is>
      </c>
      <c r="D23" s="22" t="inlineStr">
        <is>
          <t>Огурцы</t>
        </is>
      </c>
      <c r="E23" s="22" t="n">
        <v>100</v>
      </c>
      <c r="F23" s="31">
        <f>MIN(1.7,MAX(0.65,'Расчёт'!$B$17/2170.5))</f>
        <v/>
      </c>
      <c r="G23" s="22">
        <f>ROUND(E23*F23/5,0)*5</f>
        <v/>
      </c>
      <c r="H23" s="22">
        <f>ROUND(E23*F23*'Расчёт'!$B$10/5,0)*5</f>
        <v/>
      </c>
      <c r="I23" s="32">
        <f>G23*VLOOKUP($D23,'Продукты'!$A$4:$G$34,2,FALSE)/100</f>
        <v/>
      </c>
      <c r="J23" s="32">
        <f>G23*VLOOKUP($D23,'Продукты'!$A$4:$G$34,3,FALSE)/100</f>
        <v/>
      </c>
      <c r="K23" s="32">
        <f>G23*VLOOKUP($D23,'Продукты'!$A$4:$G$34,4,FALSE)/100</f>
        <v/>
      </c>
      <c r="L23" s="32">
        <f>G23*VLOOKUP($D23,'Продукты'!$A$4:$G$34,5,FALSE)/100</f>
        <v/>
      </c>
    </row>
    <row r="24">
      <c r="A24" s="22" t="inlineStr">
        <is>
          <t>Пн</t>
        </is>
      </c>
      <c r="B24" s="22" t="inlineStr">
        <is>
          <t>Ужин</t>
        </is>
      </c>
      <c r="C24" s="22" t="inlineStr">
        <is>
          <t>Капустный салат</t>
        </is>
      </c>
      <c r="D24" s="22" t="inlineStr">
        <is>
          <t>Капуста белокочанная</t>
        </is>
      </c>
      <c r="E24" s="22" t="n">
        <v>150</v>
      </c>
      <c r="F24" s="31">
        <f>MIN(1.7,MAX(0.65,'Расчёт'!$B$17/2170.5))</f>
        <v/>
      </c>
      <c r="G24" s="22">
        <f>ROUND(E24*F24/5,0)*5</f>
        <v/>
      </c>
      <c r="H24" s="22">
        <f>ROUND(E24*F24*'Расчёт'!$B$10/5,0)*5</f>
        <v/>
      </c>
      <c r="I24" s="32">
        <f>G24*VLOOKUP($D24,'Продукты'!$A$4:$G$34,2,FALSE)/100</f>
        <v/>
      </c>
      <c r="J24" s="32">
        <f>G24*VLOOKUP($D24,'Продукты'!$A$4:$G$34,3,FALSE)/100</f>
        <v/>
      </c>
      <c r="K24" s="32">
        <f>G24*VLOOKUP($D24,'Продукты'!$A$4:$G$34,4,FALSE)/100</f>
        <v/>
      </c>
      <c r="L24" s="32">
        <f>G24*VLOOKUP($D24,'Продукты'!$A$4:$G$34,5,FALSE)/100</f>
        <v/>
      </c>
    </row>
    <row r="25">
      <c r="A25" s="22" t="inlineStr">
        <is>
          <t>Пн</t>
        </is>
      </c>
      <c r="B25" s="22" t="inlineStr">
        <is>
          <t>Ужин</t>
        </is>
      </c>
      <c r="C25" s="22" t="inlineStr">
        <is>
          <t>Капустный салат</t>
        </is>
      </c>
      <c r="D25" s="22" t="inlineStr">
        <is>
          <t>Морковь</t>
        </is>
      </c>
      <c r="E25" s="22" t="n">
        <v>40</v>
      </c>
      <c r="F25" s="31">
        <f>MIN(1.7,MAX(0.65,'Расчёт'!$B$17/2170.5))</f>
        <v/>
      </c>
      <c r="G25" s="22">
        <f>ROUND(E25*F25/5,0)*5</f>
        <v/>
      </c>
      <c r="H25" s="22">
        <f>ROUND(E25*F25*'Расчёт'!$B$10/5,0)*5</f>
        <v/>
      </c>
      <c r="I25" s="32">
        <f>G25*VLOOKUP($D25,'Продукты'!$A$4:$G$34,2,FALSE)/100</f>
        <v/>
      </c>
      <c r="J25" s="32">
        <f>G25*VLOOKUP($D25,'Продукты'!$A$4:$G$34,3,FALSE)/100</f>
        <v/>
      </c>
      <c r="K25" s="32">
        <f>G25*VLOOKUP($D25,'Продукты'!$A$4:$G$34,4,FALSE)/100</f>
        <v/>
      </c>
      <c r="L25" s="32">
        <f>G25*VLOOKUP($D25,'Продукты'!$A$4:$G$34,5,FALSE)/100</f>
        <v/>
      </c>
    </row>
    <row r="26">
      <c r="A26" s="22" t="inlineStr">
        <is>
          <t>Пн</t>
        </is>
      </c>
      <c r="B26" s="22" t="inlineStr">
        <is>
          <t>Ужин</t>
        </is>
      </c>
      <c r="C26" s="22" t="inlineStr">
        <is>
          <t>Капустный салат</t>
        </is>
      </c>
      <c r="D26" s="22" t="inlineStr">
        <is>
          <t>Масло растительное</t>
        </is>
      </c>
      <c r="E26" s="22" t="n">
        <v>8</v>
      </c>
      <c r="F26" s="31">
        <f>MIN(1.7,MAX(0.65,'Расчёт'!$B$17/2170.5))</f>
        <v/>
      </c>
      <c r="G26" s="22">
        <f>ROUND(E26*F26/5,0)*5</f>
        <v/>
      </c>
      <c r="H26" s="22">
        <f>ROUND(E26*F26*'Расчёт'!$B$10/5,0)*5</f>
        <v/>
      </c>
      <c r="I26" s="32">
        <f>G26*VLOOKUP($D26,'Продукты'!$A$4:$G$34,2,FALSE)/100</f>
        <v/>
      </c>
      <c r="J26" s="32">
        <f>G26*VLOOKUP($D26,'Продукты'!$A$4:$G$34,3,FALSE)/100</f>
        <v/>
      </c>
      <c r="K26" s="32">
        <f>G26*VLOOKUP($D26,'Продукты'!$A$4:$G$34,4,FALSE)/100</f>
        <v/>
      </c>
      <c r="L26" s="32">
        <f>G26*VLOOKUP($D26,'Продукты'!$A$4:$G$34,5,FALSE)/100</f>
        <v/>
      </c>
    </row>
    <row r="27">
      <c r="A27" s="25" t="inlineStr">
        <is>
          <t>Вт</t>
        </is>
      </c>
      <c r="B27" s="25" t="inlineStr">
        <is>
          <t>Завтрак</t>
        </is>
      </c>
      <c r="C27" s="25" t="inlineStr">
        <is>
          <t>Омлет с овощами и хлебом</t>
        </is>
      </c>
      <c r="D27" s="25" t="inlineStr">
        <is>
          <t>Яйцо</t>
        </is>
      </c>
      <c r="E27" s="25" t="n">
        <v>165</v>
      </c>
      <c r="F27" s="33">
        <f>MIN(1.7,MAX(0.65,'Расчёт'!$B$17/1978.5))</f>
        <v/>
      </c>
      <c r="G27" s="25">
        <f>ROUND(E27*F27/5,0)*5</f>
        <v/>
      </c>
      <c r="H27" s="25">
        <f>ROUND(E27*F27*'Расчёт'!$B$10/5,0)*5</f>
        <v/>
      </c>
      <c r="I27" s="34">
        <f>G27*VLOOKUP($D27,'Продукты'!$A$4:$G$34,2,FALSE)/100</f>
        <v/>
      </c>
      <c r="J27" s="34">
        <f>G27*VLOOKUP($D27,'Продукты'!$A$4:$G$34,3,FALSE)/100</f>
        <v/>
      </c>
      <c r="K27" s="34">
        <f>G27*VLOOKUP($D27,'Продукты'!$A$4:$G$34,4,FALSE)/100</f>
        <v/>
      </c>
      <c r="L27" s="34">
        <f>G27*VLOOKUP($D27,'Продукты'!$A$4:$G$34,5,FALSE)/100</f>
        <v/>
      </c>
    </row>
    <row r="28">
      <c r="A28" s="25" t="inlineStr">
        <is>
          <t>Вт</t>
        </is>
      </c>
      <c r="B28" s="25" t="inlineStr">
        <is>
          <t>Завтрак</t>
        </is>
      </c>
      <c r="C28" s="25" t="inlineStr">
        <is>
          <t>Омлет с овощами и хлебом</t>
        </is>
      </c>
      <c r="D28" s="25" t="inlineStr">
        <is>
          <t>Помидоры</t>
        </is>
      </c>
      <c r="E28" s="25" t="n">
        <v>80</v>
      </c>
      <c r="F28" s="33">
        <f>MIN(1.7,MAX(0.65,'Расчёт'!$B$17/1978.5))</f>
        <v/>
      </c>
      <c r="G28" s="25">
        <f>ROUND(E28*F28/5,0)*5</f>
        <v/>
      </c>
      <c r="H28" s="25">
        <f>ROUND(E28*F28*'Расчёт'!$B$10/5,0)*5</f>
        <v/>
      </c>
      <c r="I28" s="34">
        <f>G28*VLOOKUP($D28,'Продукты'!$A$4:$G$34,2,FALSE)/100</f>
        <v/>
      </c>
      <c r="J28" s="34">
        <f>G28*VLOOKUP($D28,'Продукты'!$A$4:$G$34,3,FALSE)/100</f>
        <v/>
      </c>
      <c r="K28" s="34">
        <f>G28*VLOOKUP($D28,'Продукты'!$A$4:$G$34,4,FALSE)/100</f>
        <v/>
      </c>
      <c r="L28" s="34">
        <f>G28*VLOOKUP($D28,'Продукты'!$A$4:$G$34,5,FALSE)/100</f>
        <v/>
      </c>
    </row>
    <row r="29">
      <c r="A29" s="25" t="inlineStr">
        <is>
          <t>Вт</t>
        </is>
      </c>
      <c r="B29" s="25" t="inlineStr">
        <is>
          <t>Завтрак</t>
        </is>
      </c>
      <c r="C29" s="25" t="inlineStr">
        <is>
          <t>Омлет с овощами и хлебом</t>
        </is>
      </c>
      <c r="D29" s="25" t="inlineStr">
        <is>
          <t>Лук репчатый</t>
        </is>
      </c>
      <c r="E29" s="25" t="n">
        <v>20</v>
      </c>
      <c r="F29" s="33">
        <f>MIN(1.7,MAX(0.65,'Расчёт'!$B$17/1978.5))</f>
        <v/>
      </c>
      <c r="G29" s="25">
        <f>ROUND(E29*F29/5,0)*5</f>
        <v/>
      </c>
      <c r="H29" s="25">
        <f>ROUND(E29*F29*'Расчёт'!$B$10/5,0)*5</f>
        <v/>
      </c>
      <c r="I29" s="34">
        <f>G29*VLOOKUP($D29,'Продукты'!$A$4:$G$34,2,FALSE)/100</f>
        <v/>
      </c>
      <c r="J29" s="34">
        <f>G29*VLOOKUP($D29,'Продукты'!$A$4:$G$34,3,FALSE)/100</f>
        <v/>
      </c>
      <c r="K29" s="34">
        <f>G29*VLOOKUP($D29,'Продукты'!$A$4:$G$34,4,FALSE)/100</f>
        <v/>
      </c>
      <c r="L29" s="34">
        <f>G29*VLOOKUP($D29,'Продукты'!$A$4:$G$34,5,FALSE)/100</f>
        <v/>
      </c>
    </row>
    <row r="30">
      <c r="A30" s="25" t="inlineStr">
        <is>
          <t>Вт</t>
        </is>
      </c>
      <c r="B30" s="25" t="inlineStr">
        <is>
          <t>Завтрак</t>
        </is>
      </c>
      <c r="C30" s="25" t="inlineStr">
        <is>
          <t>Омлет с овощами и хлебом</t>
        </is>
      </c>
      <c r="D30" s="25" t="inlineStr">
        <is>
          <t>Масло растительное</t>
        </is>
      </c>
      <c r="E30" s="25" t="n">
        <v>5</v>
      </c>
      <c r="F30" s="33">
        <f>MIN(1.7,MAX(0.65,'Расчёт'!$B$17/1978.5))</f>
        <v/>
      </c>
      <c r="G30" s="25">
        <f>ROUND(E30*F30/5,0)*5</f>
        <v/>
      </c>
      <c r="H30" s="25">
        <f>ROUND(E30*F30*'Расчёт'!$B$10/5,0)*5</f>
        <v/>
      </c>
      <c r="I30" s="34">
        <f>G30*VLOOKUP($D30,'Продукты'!$A$4:$G$34,2,FALSE)/100</f>
        <v/>
      </c>
      <c r="J30" s="34">
        <f>G30*VLOOKUP($D30,'Продукты'!$A$4:$G$34,3,FALSE)/100</f>
        <v/>
      </c>
      <c r="K30" s="34">
        <f>G30*VLOOKUP($D30,'Продукты'!$A$4:$G$34,4,FALSE)/100</f>
        <v/>
      </c>
      <c r="L30" s="34">
        <f>G30*VLOOKUP($D30,'Продукты'!$A$4:$G$34,5,FALSE)/100</f>
        <v/>
      </c>
    </row>
    <row r="31">
      <c r="A31" s="25" t="inlineStr">
        <is>
          <t>Вт</t>
        </is>
      </c>
      <c r="B31" s="25" t="inlineStr">
        <is>
          <t>Завтрак</t>
        </is>
      </c>
      <c r="C31" s="25" t="inlineStr">
        <is>
          <t>Омлет с овощами и хлебом</t>
        </is>
      </c>
      <c r="D31" s="25" t="inlineStr">
        <is>
          <t>Хлеб цельнозерновой/ржаной</t>
        </is>
      </c>
      <c r="E31" s="25" t="n">
        <v>40</v>
      </c>
      <c r="F31" s="33">
        <f>MIN(1.7,MAX(0.65,'Расчёт'!$B$17/1978.5))</f>
        <v/>
      </c>
      <c r="G31" s="25">
        <f>ROUND(E31*F31/5,0)*5</f>
        <v/>
      </c>
      <c r="H31" s="25">
        <f>ROUND(E31*F31*'Расчёт'!$B$10/5,0)*5</f>
        <v/>
      </c>
      <c r="I31" s="34">
        <f>G31*VLOOKUP($D31,'Продукты'!$A$4:$G$34,2,FALSE)/100</f>
        <v/>
      </c>
      <c r="J31" s="34">
        <f>G31*VLOOKUP($D31,'Продукты'!$A$4:$G$34,3,FALSE)/100</f>
        <v/>
      </c>
      <c r="K31" s="34">
        <f>G31*VLOOKUP($D31,'Продукты'!$A$4:$G$34,4,FALSE)/100</f>
        <v/>
      </c>
      <c r="L31" s="34">
        <f>G31*VLOOKUP($D31,'Продукты'!$A$4:$G$34,5,FALSE)/100</f>
        <v/>
      </c>
    </row>
    <row r="32">
      <c r="A32" s="25" t="inlineStr">
        <is>
          <t>Вт</t>
        </is>
      </c>
      <c r="B32" s="25" t="inlineStr">
        <is>
          <t>Обед</t>
        </is>
      </c>
      <c r="C32" s="25" t="inlineStr">
        <is>
          <t>Рис с запечёнными бёдрами и овощами</t>
        </is>
      </c>
      <c r="D32" s="25" t="inlineStr">
        <is>
          <t>Рис (сухой)</t>
        </is>
      </c>
      <c r="E32" s="25" t="n">
        <v>70</v>
      </c>
      <c r="F32" s="33">
        <f>MIN(1.7,MAX(0.65,'Расчёт'!$B$17/1978.5))</f>
        <v/>
      </c>
      <c r="G32" s="25">
        <f>ROUND(E32*F32/5,0)*5</f>
        <v/>
      </c>
      <c r="H32" s="25">
        <f>ROUND(E32*F32*'Расчёт'!$B$10/5,0)*5</f>
        <v/>
      </c>
      <c r="I32" s="34">
        <f>G32*VLOOKUP($D32,'Продукты'!$A$4:$G$34,2,FALSE)/100</f>
        <v/>
      </c>
      <c r="J32" s="34">
        <f>G32*VLOOKUP($D32,'Продукты'!$A$4:$G$34,3,FALSE)/100</f>
        <v/>
      </c>
      <c r="K32" s="34">
        <f>G32*VLOOKUP($D32,'Продукты'!$A$4:$G$34,4,FALSE)/100</f>
        <v/>
      </c>
      <c r="L32" s="34">
        <f>G32*VLOOKUP($D32,'Продукты'!$A$4:$G$34,5,FALSE)/100</f>
        <v/>
      </c>
    </row>
    <row r="33">
      <c r="A33" s="25" t="inlineStr">
        <is>
          <t>Вт</t>
        </is>
      </c>
      <c r="B33" s="25" t="inlineStr">
        <is>
          <t>Обед</t>
        </is>
      </c>
      <c r="C33" s="25" t="inlineStr">
        <is>
          <t>Рис с запечёнными бёдрами и овощами</t>
        </is>
      </c>
      <c r="D33" s="25" t="inlineStr">
        <is>
          <t>Куриные бёдра/голень без кожи</t>
        </is>
      </c>
      <c r="E33" s="25" t="n">
        <v>180</v>
      </c>
      <c r="F33" s="33">
        <f>MIN(1.7,MAX(0.65,'Расчёт'!$B$17/1978.5))</f>
        <v/>
      </c>
      <c r="G33" s="25">
        <f>ROUND(E33*F33/5,0)*5</f>
        <v/>
      </c>
      <c r="H33" s="25">
        <f>ROUND(E33*F33*'Расчёт'!$B$10/5,0)*5</f>
        <v/>
      </c>
      <c r="I33" s="34">
        <f>G33*VLOOKUP($D33,'Продукты'!$A$4:$G$34,2,FALSE)/100</f>
        <v/>
      </c>
      <c r="J33" s="34">
        <f>G33*VLOOKUP($D33,'Продукты'!$A$4:$G$34,3,FALSE)/100</f>
        <v/>
      </c>
      <c r="K33" s="34">
        <f>G33*VLOOKUP($D33,'Продукты'!$A$4:$G$34,4,FALSE)/100</f>
        <v/>
      </c>
      <c r="L33" s="34">
        <f>G33*VLOOKUP($D33,'Продукты'!$A$4:$G$34,5,FALSE)/100</f>
        <v/>
      </c>
    </row>
    <row r="34">
      <c r="A34" s="25" t="inlineStr">
        <is>
          <t>Вт</t>
        </is>
      </c>
      <c r="B34" s="25" t="inlineStr">
        <is>
          <t>Обед</t>
        </is>
      </c>
      <c r="C34" s="25" t="inlineStr">
        <is>
          <t>Рис с запечёнными бёдрами и овощами</t>
        </is>
      </c>
      <c r="D34" s="25" t="inlineStr">
        <is>
          <t>Морковь</t>
        </is>
      </c>
      <c r="E34" s="25" t="n">
        <v>50</v>
      </c>
      <c r="F34" s="33">
        <f>MIN(1.7,MAX(0.65,'Расчёт'!$B$17/1978.5))</f>
        <v/>
      </c>
      <c r="G34" s="25">
        <f>ROUND(E34*F34/5,0)*5</f>
        <v/>
      </c>
      <c r="H34" s="25">
        <f>ROUND(E34*F34*'Расчёт'!$B$10/5,0)*5</f>
        <v/>
      </c>
      <c r="I34" s="34">
        <f>G34*VLOOKUP($D34,'Продукты'!$A$4:$G$34,2,FALSE)/100</f>
        <v/>
      </c>
      <c r="J34" s="34">
        <f>G34*VLOOKUP($D34,'Продукты'!$A$4:$G$34,3,FALSE)/100</f>
        <v/>
      </c>
      <c r="K34" s="34">
        <f>G34*VLOOKUP($D34,'Продукты'!$A$4:$G$34,4,FALSE)/100</f>
        <v/>
      </c>
      <c r="L34" s="34">
        <f>G34*VLOOKUP($D34,'Продукты'!$A$4:$G$34,5,FALSE)/100</f>
        <v/>
      </c>
    </row>
    <row r="35">
      <c r="A35" s="25" t="inlineStr">
        <is>
          <t>Вт</t>
        </is>
      </c>
      <c r="B35" s="25" t="inlineStr">
        <is>
          <t>Обед</t>
        </is>
      </c>
      <c r="C35" s="25" t="inlineStr">
        <is>
          <t>Рис с запечёнными бёдрами и овощами</t>
        </is>
      </c>
      <c r="D35" s="25" t="inlineStr">
        <is>
          <t>Лук репчатый</t>
        </is>
      </c>
      <c r="E35" s="25" t="n">
        <v>30</v>
      </c>
      <c r="F35" s="33">
        <f>MIN(1.7,MAX(0.65,'Расчёт'!$B$17/1978.5))</f>
        <v/>
      </c>
      <c r="G35" s="25">
        <f>ROUND(E35*F35/5,0)*5</f>
        <v/>
      </c>
      <c r="H35" s="25">
        <f>ROUND(E35*F35*'Расчёт'!$B$10/5,0)*5</f>
        <v/>
      </c>
      <c r="I35" s="34">
        <f>G35*VLOOKUP($D35,'Продукты'!$A$4:$G$34,2,FALSE)/100</f>
        <v/>
      </c>
      <c r="J35" s="34">
        <f>G35*VLOOKUP($D35,'Продукты'!$A$4:$G$34,3,FALSE)/100</f>
        <v/>
      </c>
      <c r="K35" s="34">
        <f>G35*VLOOKUP($D35,'Продукты'!$A$4:$G$34,4,FALSE)/100</f>
        <v/>
      </c>
      <c r="L35" s="34">
        <f>G35*VLOOKUP($D35,'Продукты'!$A$4:$G$34,5,FALSE)/100</f>
        <v/>
      </c>
    </row>
    <row r="36">
      <c r="A36" s="25" t="inlineStr">
        <is>
          <t>Вт</t>
        </is>
      </c>
      <c r="B36" s="25" t="inlineStr">
        <is>
          <t>Обед</t>
        </is>
      </c>
      <c r="C36" s="25" t="inlineStr">
        <is>
          <t>Рис с запечёнными бёдрами и овощами</t>
        </is>
      </c>
      <c r="D36" s="25" t="inlineStr">
        <is>
          <t>Помидоры</t>
        </is>
      </c>
      <c r="E36" s="25" t="n">
        <v>100</v>
      </c>
      <c r="F36" s="33">
        <f>MIN(1.7,MAX(0.65,'Расчёт'!$B$17/1978.5))</f>
        <v/>
      </c>
      <c r="G36" s="25">
        <f>ROUND(E36*F36/5,0)*5</f>
        <v/>
      </c>
      <c r="H36" s="25">
        <f>ROUND(E36*F36*'Расчёт'!$B$10/5,0)*5</f>
        <v/>
      </c>
      <c r="I36" s="34">
        <f>G36*VLOOKUP($D36,'Продукты'!$A$4:$G$34,2,FALSE)/100</f>
        <v/>
      </c>
      <c r="J36" s="34">
        <f>G36*VLOOKUP($D36,'Продукты'!$A$4:$G$34,3,FALSE)/100</f>
        <v/>
      </c>
      <c r="K36" s="34">
        <f>G36*VLOOKUP($D36,'Продукты'!$A$4:$G$34,4,FALSE)/100</f>
        <v/>
      </c>
      <c r="L36" s="34">
        <f>G36*VLOOKUP($D36,'Продукты'!$A$4:$G$34,5,FALSE)/100</f>
        <v/>
      </c>
    </row>
    <row r="37">
      <c r="A37" s="25" t="inlineStr">
        <is>
          <t>Вт</t>
        </is>
      </c>
      <c r="B37" s="25" t="inlineStr">
        <is>
          <t>Обед</t>
        </is>
      </c>
      <c r="C37" s="25" t="inlineStr">
        <is>
          <t>Рис с запечёнными бёдрами и овощами</t>
        </is>
      </c>
      <c r="D37" s="25" t="inlineStr">
        <is>
          <t>Масло растительное</t>
        </is>
      </c>
      <c r="E37" s="25" t="n">
        <v>5</v>
      </c>
      <c r="F37" s="33">
        <f>MIN(1.7,MAX(0.65,'Расчёт'!$B$17/1978.5))</f>
        <v/>
      </c>
      <c r="G37" s="25">
        <f>ROUND(E37*F37/5,0)*5</f>
        <v/>
      </c>
      <c r="H37" s="25">
        <f>ROUND(E37*F37*'Расчёт'!$B$10/5,0)*5</f>
        <v/>
      </c>
      <c r="I37" s="34">
        <f>G37*VLOOKUP($D37,'Продукты'!$A$4:$G$34,2,FALSE)/100</f>
        <v/>
      </c>
      <c r="J37" s="34">
        <f>G37*VLOOKUP($D37,'Продукты'!$A$4:$G$34,3,FALSE)/100</f>
        <v/>
      </c>
      <c r="K37" s="34">
        <f>G37*VLOOKUP($D37,'Продукты'!$A$4:$G$34,4,FALSE)/100</f>
        <v/>
      </c>
      <c r="L37" s="34">
        <f>G37*VLOOKUP($D37,'Продукты'!$A$4:$G$34,5,FALSE)/100</f>
        <v/>
      </c>
    </row>
    <row r="38">
      <c r="A38" s="25" t="inlineStr">
        <is>
          <t>Вт</t>
        </is>
      </c>
      <c r="B38" s="25" t="inlineStr">
        <is>
          <t>Обед</t>
        </is>
      </c>
      <c r="C38" s="25" t="inlineStr">
        <is>
          <t>Салат айсберг с яйцом и йогуртом</t>
        </is>
      </c>
      <c r="D38" s="25" t="inlineStr">
        <is>
          <t>Салат айсберг</t>
        </is>
      </c>
      <c r="E38" s="25" t="n">
        <v>150</v>
      </c>
      <c r="F38" s="33">
        <f>MIN(1.7,MAX(0.65,'Расчёт'!$B$17/1978.5))</f>
        <v/>
      </c>
      <c r="G38" s="25">
        <f>ROUND(E38*F38/5,0)*5</f>
        <v/>
      </c>
      <c r="H38" s="25">
        <f>ROUND(E38*F38*'Расчёт'!$B$10/5,0)*5</f>
        <v/>
      </c>
      <c r="I38" s="34">
        <f>G38*VLOOKUP($D38,'Продукты'!$A$4:$G$34,2,FALSE)/100</f>
        <v/>
      </c>
      <c r="J38" s="34">
        <f>G38*VLOOKUP($D38,'Продукты'!$A$4:$G$34,3,FALSE)/100</f>
        <v/>
      </c>
      <c r="K38" s="34">
        <f>G38*VLOOKUP($D38,'Продукты'!$A$4:$G$34,4,FALSE)/100</f>
        <v/>
      </c>
      <c r="L38" s="34">
        <f>G38*VLOOKUP($D38,'Продукты'!$A$4:$G$34,5,FALSE)/100</f>
        <v/>
      </c>
    </row>
    <row r="39">
      <c r="A39" s="25" t="inlineStr">
        <is>
          <t>Вт</t>
        </is>
      </c>
      <c r="B39" s="25" t="inlineStr">
        <is>
          <t>Обед</t>
        </is>
      </c>
      <c r="C39" s="25" t="inlineStr">
        <is>
          <t>Салат айсберг с яйцом и йогуртом</t>
        </is>
      </c>
      <c r="D39" s="25" t="inlineStr">
        <is>
          <t>Огурцы</t>
        </is>
      </c>
      <c r="E39" s="25" t="n">
        <v>100</v>
      </c>
      <c r="F39" s="33">
        <f>MIN(1.7,MAX(0.65,'Расчёт'!$B$17/1978.5))</f>
        <v/>
      </c>
      <c r="G39" s="25">
        <f>ROUND(E39*F39/5,0)*5</f>
        <v/>
      </c>
      <c r="H39" s="25">
        <f>ROUND(E39*F39*'Расчёт'!$B$10/5,0)*5</f>
        <v/>
      </c>
      <c r="I39" s="34">
        <f>G39*VLOOKUP($D39,'Продукты'!$A$4:$G$34,2,FALSE)/100</f>
        <v/>
      </c>
      <c r="J39" s="34">
        <f>G39*VLOOKUP($D39,'Продукты'!$A$4:$G$34,3,FALSE)/100</f>
        <v/>
      </c>
      <c r="K39" s="34">
        <f>G39*VLOOKUP($D39,'Продукты'!$A$4:$G$34,4,FALSE)/100</f>
        <v/>
      </c>
      <c r="L39" s="34">
        <f>G39*VLOOKUP($D39,'Продукты'!$A$4:$G$34,5,FALSE)/100</f>
        <v/>
      </c>
    </row>
    <row r="40">
      <c r="A40" s="25" t="inlineStr">
        <is>
          <t>Вт</t>
        </is>
      </c>
      <c r="B40" s="25" t="inlineStr">
        <is>
          <t>Обед</t>
        </is>
      </c>
      <c r="C40" s="25" t="inlineStr">
        <is>
          <t>Салат айсберг с яйцом и йогуртом</t>
        </is>
      </c>
      <c r="D40" s="25" t="inlineStr">
        <is>
          <t>Яйцо</t>
        </is>
      </c>
      <c r="E40" s="25" t="n">
        <v>55</v>
      </c>
      <c r="F40" s="33">
        <f>MIN(1.7,MAX(0.65,'Расчёт'!$B$17/1978.5))</f>
        <v/>
      </c>
      <c r="G40" s="25">
        <f>ROUND(E40*F40/5,0)*5</f>
        <v/>
      </c>
      <c r="H40" s="25">
        <f>ROUND(E40*F40*'Расчёт'!$B$10/5,0)*5</f>
        <v/>
      </c>
      <c r="I40" s="34">
        <f>G40*VLOOKUP($D40,'Продукты'!$A$4:$G$34,2,FALSE)/100</f>
        <v/>
      </c>
      <c r="J40" s="34">
        <f>G40*VLOOKUP($D40,'Продукты'!$A$4:$G$34,3,FALSE)/100</f>
        <v/>
      </c>
      <c r="K40" s="34">
        <f>G40*VLOOKUP($D40,'Продукты'!$A$4:$G$34,4,FALSE)/100</f>
        <v/>
      </c>
      <c r="L40" s="34">
        <f>G40*VLOOKUP($D40,'Продукты'!$A$4:$G$34,5,FALSE)/100</f>
        <v/>
      </c>
    </row>
    <row r="41">
      <c r="A41" s="25" t="inlineStr">
        <is>
          <t>Вт</t>
        </is>
      </c>
      <c r="B41" s="25" t="inlineStr">
        <is>
          <t>Обед</t>
        </is>
      </c>
      <c r="C41" s="25" t="inlineStr">
        <is>
          <t>Салат айсберг с яйцом и йогуртом</t>
        </is>
      </c>
      <c r="D41" s="25" t="inlineStr">
        <is>
          <t>Йогурт натуральный</t>
        </is>
      </c>
      <c r="E41" s="25" t="n">
        <v>40</v>
      </c>
      <c r="F41" s="33">
        <f>MIN(1.7,MAX(0.65,'Расчёт'!$B$17/1978.5))</f>
        <v/>
      </c>
      <c r="G41" s="25">
        <f>ROUND(E41*F41/5,0)*5</f>
        <v/>
      </c>
      <c r="H41" s="25">
        <f>ROUND(E41*F41*'Расчёт'!$B$10/5,0)*5</f>
        <v/>
      </c>
      <c r="I41" s="34">
        <f>G41*VLOOKUP($D41,'Продукты'!$A$4:$G$34,2,FALSE)/100</f>
        <v/>
      </c>
      <c r="J41" s="34">
        <f>G41*VLOOKUP($D41,'Продукты'!$A$4:$G$34,3,FALSE)/100</f>
        <v/>
      </c>
      <c r="K41" s="34">
        <f>G41*VLOOKUP($D41,'Продукты'!$A$4:$G$34,4,FALSE)/100</f>
        <v/>
      </c>
      <c r="L41" s="34">
        <f>G41*VLOOKUP($D41,'Продукты'!$A$4:$G$34,5,FALSE)/100</f>
        <v/>
      </c>
    </row>
    <row r="42">
      <c r="A42" s="25" t="inlineStr">
        <is>
          <t>Вт</t>
        </is>
      </c>
      <c r="B42" s="25" t="inlineStr">
        <is>
          <t>Обед</t>
        </is>
      </c>
      <c r="C42" s="25" t="inlineStr">
        <is>
          <t>Салат айсберг с яйцом и йогуртом</t>
        </is>
      </c>
      <c r="D42" s="25" t="inlineStr">
        <is>
          <t>Масло растительное</t>
        </is>
      </c>
      <c r="E42" s="25" t="n">
        <v>3</v>
      </c>
      <c r="F42" s="33">
        <f>MIN(1.7,MAX(0.65,'Расчёт'!$B$17/1978.5))</f>
        <v/>
      </c>
      <c r="G42" s="25">
        <f>ROUND(E42*F42/5,0)*5</f>
        <v/>
      </c>
      <c r="H42" s="25">
        <f>ROUND(E42*F42*'Расчёт'!$B$10/5,0)*5</f>
        <v/>
      </c>
      <c r="I42" s="34">
        <f>G42*VLOOKUP($D42,'Продукты'!$A$4:$G$34,2,FALSE)/100</f>
        <v/>
      </c>
      <c r="J42" s="34">
        <f>G42*VLOOKUP($D42,'Продукты'!$A$4:$G$34,3,FALSE)/100</f>
        <v/>
      </c>
      <c r="K42" s="34">
        <f>G42*VLOOKUP($D42,'Продукты'!$A$4:$G$34,4,FALSE)/100</f>
        <v/>
      </c>
      <c r="L42" s="34">
        <f>G42*VLOOKUP($D42,'Продукты'!$A$4:$G$34,5,FALSE)/100</f>
        <v/>
      </c>
    </row>
    <row r="43">
      <c r="A43" s="25" t="inlineStr">
        <is>
          <t>Вт</t>
        </is>
      </c>
      <c r="B43" s="25" t="inlineStr">
        <is>
          <t>Перекус</t>
        </is>
      </c>
      <c r="C43" s="25" t="inlineStr">
        <is>
          <t>Кефир с бананом</t>
        </is>
      </c>
      <c r="D43" s="25" t="inlineStr">
        <is>
          <t>Кефир 1%</t>
        </is>
      </c>
      <c r="E43" s="25" t="n">
        <v>300</v>
      </c>
      <c r="F43" s="33">
        <f>MIN(1.7,MAX(0.65,'Расчёт'!$B$17/1978.5))</f>
        <v/>
      </c>
      <c r="G43" s="25">
        <f>ROUND(E43*F43/5,0)*5</f>
        <v/>
      </c>
      <c r="H43" s="25">
        <f>ROUND(E43*F43*'Расчёт'!$B$10/5,0)*5</f>
        <v/>
      </c>
      <c r="I43" s="34">
        <f>G43*VLOOKUP($D43,'Продукты'!$A$4:$G$34,2,FALSE)/100</f>
        <v/>
      </c>
      <c r="J43" s="34">
        <f>G43*VLOOKUP($D43,'Продукты'!$A$4:$G$34,3,FALSE)/100</f>
        <v/>
      </c>
      <c r="K43" s="34">
        <f>G43*VLOOKUP($D43,'Продукты'!$A$4:$G$34,4,FALSE)/100</f>
        <v/>
      </c>
      <c r="L43" s="34">
        <f>G43*VLOOKUP($D43,'Продукты'!$A$4:$G$34,5,FALSE)/100</f>
        <v/>
      </c>
    </row>
    <row r="44">
      <c r="A44" s="25" t="inlineStr">
        <is>
          <t>Вт</t>
        </is>
      </c>
      <c r="B44" s="25" t="inlineStr">
        <is>
          <t>Перекус</t>
        </is>
      </c>
      <c r="C44" s="25" t="inlineStr">
        <is>
          <t>Кефир с бананом</t>
        </is>
      </c>
      <c r="D44" s="25" t="inlineStr">
        <is>
          <t>Бананы (очищенные)</t>
        </is>
      </c>
      <c r="E44" s="25" t="n">
        <v>110</v>
      </c>
      <c r="F44" s="33">
        <f>MIN(1.7,MAX(0.65,'Расчёт'!$B$17/1978.5))</f>
        <v/>
      </c>
      <c r="G44" s="25">
        <f>ROUND(E44*F44/5,0)*5</f>
        <v/>
      </c>
      <c r="H44" s="25">
        <f>ROUND(E44*F44*'Расчёт'!$B$10/5,0)*5</f>
        <v/>
      </c>
      <c r="I44" s="34">
        <f>G44*VLOOKUP($D44,'Продукты'!$A$4:$G$34,2,FALSE)/100</f>
        <v/>
      </c>
      <c r="J44" s="34">
        <f>G44*VLOOKUP($D44,'Продукты'!$A$4:$G$34,3,FALSE)/100</f>
        <v/>
      </c>
      <c r="K44" s="34">
        <f>G44*VLOOKUP($D44,'Продукты'!$A$4:$G$34,4,FALSE)/100</f>
        <v/>
      </c>
      <c r="L44" s="34">
        <f>G44*VLOOKUP($D44,'Продукты'!$A$4:$G$34,5,FALSE)/100</f>
        <v/>
      </c>
    </row>
    <row r="45">
      <c r="A45" s="25" t="inlineStr">
        <is>
          <t>Вт</t>
        </is>
      </c>
      <c r="B45" s="25" t="inlineStr">
        <is>
          <t>Перекус</t>
        </is>
      </c>
      <c r="C45" s="25" t="inlineStr">
        <is>
          <t>Кефир с бананом</t>
        </is>
      </c>
      <c r="D45" s="25" t="inlineStr">
        <is>
          <t>Хлеб цельнозерновой/ржаной</t>
        </is>
      </c>
      <c r="E45" s="25" t="n">
        <v>30</v>
      </c>
      <c r="F45" s="33">
        <f>MIN(1.7,MAX(0.65,'Расчёт'!$B$17/1978.5))</f>
        <v/>
      </c>
      <c r="G45" s="25">
        <f>ROUND(E45*F45/5,0)*5</f>
        <v/>
      </c>
      <c r="H45" s="25">
        <f>ROUND(E45*F45*'Расчёт'!$B$10/5,0)*5</f>
        <v/>
      </c>
      <c r="I45" s="34">
        <f>G45*VLOOKUP($D45,'Продукты'!$A$4:$G$34,2,FALSE)/100</f>
        <v/>
      </c>
      <c r="J45" s="34">
        <f>G45*VLOOKUP($D45,'Продукты'!$A$4:$G$34,3,FALSE)/100</f>
        <v/>
      </c>
      <c r="K45" s="34">
        <f>G45*VLOOKUP($D45,'Продукты'!$A$4:$G$34,4,FALSE)/100</f>
        <v/>
      </c>
      <c r="L45" s="34">
        <f>G45*VLOOKUP($D45,'Продукты'!$A$4:$G$34,5,FALSE)/100</f>
        <v/>
      </c>
    </row>
    <row r="46">
      <c r="A46" s="25" t="inlineStr">
        <is>
          <t>Вт</t>
        </is>
      </c>
      <c r="B46" s="25" t="inlineStr">
        <is>
          <t>Ужин</t>
        </is>
      </c>
      <c r="C46" s="25" t="inlineStr">
        <is>
          <t>Творожная запеканка с бананом</t>
        </is>
      </c>
      <c r="D46" s="25" t="inlineStr">
        <is>
          <t>Творог 5%</t>
        </is>
      </c>
      <c r="E46" s="25" t="n">
        <v>200</v>
      </c>
      <c r="F46" s="33">
        <f>MIN(1.7,MAX(0.65,'Расчёт'!$B$17/1978.5))</f>
        <v/>
      </c>
      <c r="G46" s="25">
        <f>ROUND(E46*F46/5,0)*5</f>
        <v/>
      </c>
      <c r="H46" s="25">
        <f>ROUND(E46*F46*'Расчёт'!$B$10/5,0)*5</f>
        <v/>
      </c>
      <c r="I46" s="34">
        <f>G46*VLOOKUP($D46,'Продукты'!$A$4:$G$34,2,FALSE)/100</f>
        <v/>
      </c>
      <c r="J46" s="34">
        <f>G46*VLOOKUP($D46,'Продукты'!$A$4:$G$34,3,FALSE)/100</f>
        <v/>
      </c>
      <c r="K46" s="34">
        <f>G46*VLOOKUP($D46,'Продукты'!$A$4:$G$34,4,FALSE)/100</f>
        <v/>
      </c>
      <c r="L46" s="34">
        <f>G46*VLOOKUP($D46,'Продукты'!$A$4:$G$34,5,FALSE)/100</f>
        <v/>
      </c>
    </row>
    <row r="47">
      <c r="A47" s="25" t="inlineStr">
        <is>
          <t>Вт</t>
        </is>
      </c>
      <c r="B47" s="25" t="inlineStr">
        <is>
          <t>Ужин</t>
        </is>
      </c>
      <c r="C47" s="25" t="inlineStr">
        <is>
          <t>Творожная запеканка с бананом</t>
        </is>
      </c>
      <c r="D47" s="25" t="inlineStr">
        <is>
          <t>Яйцо</t>
        </is>
      </c>
      <c r="E47" s="25" t="n">
        <v>55</v>
      </c>
      <c r="F47" s="33">
        <f>MIN(1.7,MAX(0.65,'Расчёт'!$B$17/1978.5))</f>
        <v/>
      </c>
      <c r="G47" s="25">
        <f>ROUND(E47*F47/5,0)*5</f>
        <v/>
      </c>
      <c r="H47" s="25">
        <f>ROUND(E47*F47*'Расчёт'!$B$10/5,0)*5</f>
        <v/>
      </c>
      <c r="I47" s="34">
        <f>G47*VLOOKUP($D47,'Продукты'!$A$4:$G$34,2,FALSE)/100</f>
        <v/>
      </c>
      <c r="J47" s="34">
        <f>G47*VLOOKUP($D47,'Продукты'!$A$4:$G$34,3,FALSE)/100</f>
        <v/>
      </c>
      <c r="K47" s="34">
        <f>G47*VLOOKUP($D47,'Продукты'!$A$4:$G$34,4,FALSE)/100</f>
        <v/>
      </c>
      <c r="L47" s="34">
        <f>G47*VLOOKUP($D47,'Продукты'!$A$4:$G$34,5,FALSE)/100</f>
        <v/>
      </c>
    </row>
    <row r="48">
      <c r="A48" s="25" t="inlineStr">
        <is>
          <t>Вт</t>
        </is>
      </c>
      <c r="B48" s="25" t="inlineStr">
        <is>
          <t>Ужин</t>
        </is>
      </c>
      <c r="C48" s="25" t="inlineStr">
        <is>
          <t>Творожная запеканка с бананом</t>
        </is>
      </c>
      <c r="D48" s="25" t="inlineStr">
        <is>
          <t>Овсяные хлопья (сухие)</t>
        </is>
      </c>
      <c r="E48" s="25" t="n">
        <v>30</v>
      </c>
      <c r="F48" s="33">
        <f>MIN(1.7,MAX(0.65,'Расчёт'!$B$17/1978.5))</f>
        <v/>
      </c>
      <c r="G48" s="25">
        <f>ROUND(E48*F48/5,0)*5</f>
        <v/>
      </c>
      <c r="H48" s="25">
        <f>ROUND(E48*F48*'Расчёт'!$B$10/5,0)*5</f>
        <v/>
      </c>
      <c r="I48" s="34">
        <f>G48*VLOOKUP($D48,'Продукты'!$A$4:$G$34,2,FALSE)/100</f>
        <v/>
      </c>
      <c r="J48" s="34">
        <f>G48*VLOOKUP($D48,'Продукты'!$A$4:$G$34,3,FALSE)/100</f>
        <v/>
      </c>
      <c r="K48" s="34">
        <f>G48*VLOOKUP($D48,'Продукты'!$A$4:$G$34,4,FALSE)/100</f>
        <v/>
      </c>
      <c r="L48" s="34">
        <f>G48*VLOOKUP($D48,'Продукты'!$A$4:$G$34,5,FALSE)/100</f>
        <v/>
      </c>
    </row>
    <row r="49">
      <c r="A49" s="25" t="inlineStr">
        <is>
          <t>Вт</t>
        </is>
      </c>
      <c r="B49" s="25" t="inlineStr">
        <is>
          <t>Ужин</t>
        </is>
      </c>
      <c r="C49" s="25" t="inlineStr">
        <is>
          <t>Творожная запеканка с бананом</t>
        </is>
      </c>
      <c r="D49" s="25" t="inlineStr">
        <is>
          <t>Бананы (очищенные)</t>
        </is>
      </c>
      <c r="E49" s="25" t="n">
        <v>100</v>
      </c>
      <c r="F49" s="33">
        <f>MIN(1.7,MAX(0.65,'Расчёт'!$B$17/1978.5))</f>
        <v/>
      </c>
      <c r="G49" s="25">
        <f>ROUND(E49*F49/5,0)*5</f>
        <v/>
      </c>
      <c r="H49" s="25">
        <f>ROUND(E49*F49*'Расчёт'!$B$10/5,0)*5</f>
        <v/>
      </c>
      <c r="I49" s="34">
        <f>G49*VLOOKUP($D49,'Продукты'!$A$4:$G$34,2,FALSE)/100</f>
        <v/>
      </c>
      <c r="J49" s="34">
        <f>G49*VLOOKUP($D49,'Продукты'!$A$4:$G$34,3,FALSE)/100</f>
        <v/>
      </c>
      <c r="K49" s="34">
        <f>G49*VLOOKUP($D49,'Продукты'!$A$4:$G$34,4,FALSE)/100</f>
        <v/>
      </c>
      <c r="L49" s="34">
        <f>G49*VLOOKUP($D49,'Продукты'!$A$4:$G$34,5,FALSE)/100</f>
        <v/>
      </c>
    </row>
    <row r="50">
      <c r="A50" s="22" t="inlineStr">
        <is>
          <t>Ср</t>
        </is>
      </c>
      <c r="B50" s="22" t="inlineStr">
        <is>
          <t>Завтрак</t>
        </is>
      </c>
      <c r="C50" s="22" t="inlineStr">
        <is>
          <t>Овсянка с йогуртом и яблоком</t>
        </is>
      </c>
      <c r="D50" s="22" t="inlineStr">
        <is>
          <t>Овсяные хлопья (сухие)</t>
        </is>
      </c>
      <c r="E50" s="22" t="n">
        <v>70</v>
      </c>
      <c r="F50" s="31">
        <f>MIN(1.7,MAX(0.65,'Расчёт'!$B$17/1884.6))</f>
        <v/>
      </c>
      <c r="G50" s="22">
        <f>ROUND(E50*F50/5,0)*5</f>
        <v/>
      </c>
      <c r="H50" s="22">
        <f>ROUND(E50*F50*'Расчёт'!$B$10/5,0)*5</f>
        <v/>
      </c>
      <c r="I50" s="32">
        <f>G50*VLOOKUP($D50,'Продукты'!$A$4:$G$34,2,FALSE)/100</f>
        <v/>
      </c>
      <c r="J50" s="32">
        <f>G50*VLOOKUP($D50,'Продукты'!$A$4:$G$34,3,FALSE)/100</f>
        <v/>
      </c>
      <c r="K50" s="32">
        <f>G50*VLOOKUP($D50,'Продукты'!$A$4:$G$34,4,FALSE)/100</f>
        <v/>
      </c>
      <c r="L50" s="32">
        <f>G50*VLOOKUP($D50,'Продукты'!$A$4:$G$34,5,FALSE)/100</f>
        <v/>
      </c>
    </row>
    <row r="51">
      <c r="A51" s="22" t="inlineStr">
        <is>
          <t>Ср</t>
        </is>
      </c>
      <c r="B51" s="22" t="inlineStr">
        <is>
          <t>Завтрак</t>
        </is>
      </c>
      <c r="C51" s="22" t="inlineStr">
        <is>
          <t>Овсянка с йогуртом и яблоком</t>
        </is>
      </c>
      <c r="D51" s="22" t="inlineStr">
        <is>
          <t>Йогурт натуральный</t>
        </is>
      </c>
      <c r="E51" s="22" t="n">
        <v>150</v>
      </c>
      <c r="F51" s="31">
        <f>MIN(1.7,MAX(0.65,'Расчёт'!$B$17/1884.6))</f>
        <v/>
      </c>
      <c r="G51" s="22">
        <f>ROUND(E51*F51/5,0)*5</f>
        <v/>
      </c>
      <c r="H51" s="22">
        <f>ROUND(E51*F51*'Расчёт'!$B$10/5,0)*5</f>
        <v/>
      </c>
      <c r="I51" s="32">
        <f>G51*VLOOKUP($D51,'Продукты'!$A$4:$G$34,2,FALSE)/100</f>
        <v/>
      </c>
      <c r="J51" s="32">
        <f>G51*VLOOKUP($D51,'Продукты'!$A$4:$G$34,3,FALSE)/100</f>
        <v/>
      </c>
      <c r="K51" s="32">
        <f>G51*VLOOKUP($D51,'Продукты'!$A$4:$G$34,4,FALSE)/100</f>
        <v/>
      </c>
      <c r="L51" s="32">
        <f>G51*VLOOKUP($D51,'Продукты'!$A$4:$G$34,5,FALSE)/100</f>
        <v/>
      </c>
    </row>
    <row r="52">
      <c r="A52" s="22" t="inlineStr">
        <is>
          <t>Ср</t>
        </is>
      </c>
      <c r="B52" s="22" t="inlineStr">
        <is>
          <t>Завтрак</t>
        </is>
      </c>
      <c r="C52" s="22" t="inlineStr">
        <is>
          <t>Овсянка с йогуртом и яблоком</t>
        </is>
      </c>
      <c r="D52" s="22" t="inlineStr">
        <is>
          <t>Яблоки</t>
        </is>
      </c>
      <c r="E52" s="22" t="n">
        <v>100</v>
      </c>
      <c r="F52" s="31">
        <f>MIN(1.7,MAX(0.65,'Расчёт'!$B$17/1884.6))</f>
        <v/>
      </c>
      <c r="G52" s="22">
        <f>ROUND(E52*F52/5,0)*5</f>
        <v/>
      </c>
      <c r="H52" s="22">
        <f>ROUND(E52*F52*'Расчёт'!$B$10/5,0)*5</f>
        <v/>
      </c>
      <c r="I52" s="32">
        <f>G52*VLOOKUP($D52,'Продукты'!$A$4:$G$34,2,FALSE)/100</f>
        <v/>
      </c>
      <c r="J52" s="32">
        <f>G52*VLOOKUP($D52,'Продукты'!$A$4:$G$34,3,FALSE)/100</f>
        <v/>
      </c>
      <c r="K52" s="32">
        <f>G52*VLOOKUP($D52,'Продукты'!$A$4:$G$34,4,FALSE)/100</f>
        <v/>
      </c>
      <c r="L52" s="32">
        <f>G52*VLOOKUP($D52,'Продукты'!$A$4:$G$34,5,FALSE)/100</f>
        <v/>
      </c>
    </row>
    <row r="53">
      <c r="A53" s="22" t="inlineStr">
        <is>
          <t>Ср</t>
        </is>
      </c>
      <c r="B53" s="22" t="inlineStr">
        <is>
          <t>Завтрак</t>
        </is>
      </c>
      <c r="C53" s="22" t="inlineStr">
        <is>
          <t>Овсянка с йогуртом и яблоком</t>
        </is>
      </c>
      <c r="D53" s="22" t="inlineStr">
        <is>
          <t>Творог 5%</t>
        </is>
      </c>
      <c r="E53" s="22" t="n">
        <v>100</v>
      </c>
      <c r="F53" s="31">
        <f>MIN(1.7,MAX(0.65,'Расчёт'!$B$17/1884.6))</f>
        <v/>
      </c>
      <c r="G53" s="22">
        <f>ROUND(E53*F53/5,0)*5</f>
        <v/>
      </c>
      <c r="H53" s="22">
        <f>ROUND(E53*F53*'Расчёт'!$B$10/5,0)*5</f>
        <v/>
      </c>
      <c r="I53" s="32">
        <f>G53*VLOOKUP($D53,'Продукты'!$A$4:$G$34,2,FALSE)/100</f>
        <v/>
      </c>
      <c r="J53" s="32">
        <f>G53*VLOOKUP($D53,'Продукты'!$A$4:$G$34,3,FALSE)/100</f>
        <v/>
      </c>
      <c r="K53" s="32">
        <f>G53*VLOOKUP($D53,'Продукты'!$A$4:$G$34,4,FALSE)/100</f>
        <v/>
      </c>
      <c r="L53" s="32">
        <f>G53*VLOOKUP($D53,'Продукты'!$A$4:$G$34,5,FALSE)/100</f>
        <v/>
      </c>
    </row>
    <row r="54">
      <c r="A54" s="22" t="inlineStr">
        <is>
          <t>Ср</t>
        </is>
      </c>
      <c r="B54" s="22" t="inlineStr">
        <is>
          <t>Завтрак</t>
        </is>
      </c>
      <c r="C54" s="22" t="inlineStr">
        <is>
          <t>Добавка</t>
        </is>
      </c>
      <c r="D54" s="22" t="inlineStr">
        <is>
          <t>Яйцо</t>
        </is>
      </c>
      <c r="E54" s="22" t="n">
        <v>110</v>
      </c>
      <c r="F54" s="31">
        <f>MIN(1.7,MAX(0.65,'Расчёт'!$B$17/1884.6))</f>
        <v/>
      </c>
      <c r="G54" s="22">
        <f>ROUND(E54*F54/5,0)*5</f>
        <v/>
      </c>
      <c r="H54" s="22">
        <f>ROUND(E54*F54*'Расчёт'!$B$10/5,0)*5</f>
        <v/>
      </c>
      <c r="I54" s="32">
        <f>G54*VLOOKUP($D54,'Продукты'!$A$4:$G$34,2,FALSE)/100</f>
        <v/>
      </c>
      <c r="J54" s="32">
        <f>G54*VLOOKUP($D54,'Продукты'!$A$4:$G$34,3,FALSE)/100</f>
        <v/>
      </c>
      <c r="K54" s="32">
        <f>G54*VLOOKUP($D54,'Продукты'!$A$4:$G$34,4,FALSE)/100</f>
        <v/>
      </c>
      <c r="L54" s="32">
        <f>G54*VLOOKUP($D54,'Продукты'!$A$4:$G$34,5,FALSE)/100</f>
        <v/>
      </c>
    </row>
    <row r="55">
      <c r="A55" s="22" t="inlineStr">
        <is>
          <t>Ср</t>
        </is>
      </c>
      <c r="B55" s="22" t="inlineStr">
        <is>
          <t>Обед</t>
        </is>
      </c>
      <c r="C55" s="22" t="inlineStr">
        <is>
          <t>Чечевица с курицей</t>
        </is>
      </c>
      <c r="D55" s="22" t="inlineStr">
        <is>
          <t>Чечевица (сухая)</t>
        </is>
      </c>
      <c r="E55" s="22" t="n">
        <v>70</v>
      </c>
      <c r="F55" s="31">
        <f>MIN(1.7,MAX(0.65,'Расчёт'!$B$17/1884.6))</f>
        <v/>
      </c>
      <c r="G55" s="22">
        <f>ROUND(E55*F55/5,0)*5</f>
        <v/>
      </c>
      <c r="H55" s="22">
        <f>ROUND(E55*F55*'Расчёт'!$B$10/5,0)*5</f>
        <v/>
      </c>
      <c r="I55" s="32">
        <f>G55*VLOOKUP($D55,'Продукты'!$A$4:$G$34,2,FALSE)/100</f>
        <v/>
      </c>
      <c r="J55" s="32">
        <f>G55*VLOOKUP($D55,'Продукты'!$A$4:$G$34,3,FALSE)/100</f>
        <v/>
      </c>
      <c r="K55" s="32">
        <f>G55*VLOOKUP($D55,'Продукты'!$A$4:$G$34,4,FALSE)/100</f>
        <v/>
      </c>
      <c r="L55" s="32">
        <f>G55*VLOOKUP($D55,'Продукты'!$A$4:$G$34,5,FALSE)/100</f>
        <v/>
      </c>
    </row>
    <row r="56">
      <c r="A56" s="22" t="inlineStr">
        <is>
          <t>Ср</t>
        </is>
      </c>
      <c r="B56" s="22" t="inlineStr">
        <is>
          <t>Обед</t>
        </is>
      </c>
      <c r="C56" s="22" t="inlineStr">
        <is>
          <t>Чечевица с курицей</t>
        </is>
      </c>
      <c r="D56" s="22" t="inlineStr">
        <is>
          <t>Куриные бёдра/голень без кожи</t>
        </is>
      </c>
      <c r="E56" s="22" t="n">
        <v>150</v>
      </c>
      <c r="F56" s="31">
        <f>MIN(1.7,MAX(0.65,'Расчёт'!$B$17/1884.6))</f>
        <v/>
      </c>
      <c r="G56" s="22">
        <f>ROUND(E56*F56/5,0)*5</f>
        <v/>
      </c>
      <c r="H56" s="22">
        <f>ROUND(E56*F56*'Расчёт'!$B$10/5,0)*5</f>
        <v/>
      </c>
      <c r="I56" s="32">
        <f>G56*VLOOKUP($D56,'Продукты'!$A$4:$G$34,2,FALSE)/100</f>
        <v/>
      </c>
      <c r="J56" s="32">
        <f>G56*VLOOKUP($D56,'Продукты'!$A$4:$G$34,3,FALSE)/100</f>
        <v/>
      </c>
      <c r="K56" s="32">
        <f>G56*VLOOKUP($D56,'Продукты'!$A$4:$G$34,4,FALSE)/100</f>
        <v/>
      </c>
      <c r="L56" s="32">
        <f>G56*VLOOKUP($D56,'Продукты'!$A$4:$G$34,5,FALSE)/100</f>
        <v/>
      </c>
    </row>
    <row r="57">
      <c r="A57" s="22" t="inlineStr">
        <is>
          <t>Ср</t>
        </is>
      </c>
      <c r="B57" s="22" t="inlineStr">
        <is>
          <t>Обед</t>
        </is>
      </c>
      <c r="C57" s="22" t="inlineStr">
        <is>
          <t>Чечевица с курицей</t>
        </is>
      </c>
      <c r="D57" s="22" t="inlineStr">
        <is>
          <t>Морковь</t>
        </is>
      </c>
      <c r="E57" s="22" t="n">
        <v>50</v>
      </c>
      <c r="F57" s="31">
        <f>MIN(1.7,MAX(0.65,'Расчёт'!$B$17/1884.6))</f>
        <v/>
      </c>
      <c r="G57" s="22">
        <f>ROUND(E57*F57/5,0)*5</f>
        <v/>
      </c>
      <c r="H57" s="22">
        <f>ROUND(E57*F57*'Расчёт'!$B$10/5,0)*5</f>
        <v/>
      </c>
      <c r="I57" s="32">
        <f>G57*VLOOKUP($D57,'Продукты'!$A$4:$G$34,2,FALSE)/100</f>
        <v/>
      </c>
      <c r="J57" s="32">
        <f>G57*VLOOKUP($D57,'Продукты'!$A$4:$G$34,3,FALSE)/100</f>
        <v/>
      </c>
      <c r="K57" s="32">
        <f>G57*VLOOKUP($D57,'Продукты'!$A$4:$G$34,4,FALSE)/100</f>
        <v/>
      </c>
      <c r="L57" s="32">
        <f>G57*VLOOKUP($D57,'Продукты'!$A$4:$G$34,5,FALSE)/100</f>
        <v/>
      </c>
    </row>
    <row r="58">
      <c r="A58" s="22" t="inlineStr">
        <is>
          <t>Ср</t>
        </is>
      </c>
      <c r="B58" s="22" t="inlineStr">
        <is>
          <t>Обед</t>
        </is>
      </c>
      <c r="C58" s="22" t="inlineStr">
        <is>
          <t>Чечевица с курицей</t>
        </is>
      </c>
      <c r="D58" s="22" t="inlineStr">
        <is>
          <t>Лук репчатый</t>
        </is>
      </c>
      <c r="E58" s="22" t="n">
        <v>40</v>
      </c>
      <c r="F58" s="31">
        <f>MIN(1.7,MAX(0.65,'Расчёт'!$B$17/1884.6))</f>
        <v/>
      </c>
      <c r="G58" s="22">
        <f>ROUND(E58*F58/5,0)*5</f>
        <v/>
      </c>
      <c r="H58" s="22">
        <f>ROUND(E58*F58*'Расчёт'!$B$10/5,0)*5</f>
        <v/>
      </c>
      <c r="I58" s="32">
        <f>G58*VLOOKUP($D58,'Продукты'!$A$4:$G$34,2,FALSE)/100</f>
        <v/>
      </c>
      <c r="J58" s="32">
        <f>G58*VLOOKUP($D58,'Продукты'!$A$4:$G$34,3,FALSE)/100</f>
        <v/>
      </c>
      <c r="K58" s="32">
        <f>G58*VLOOKUP($D58,'Продукты'!$A$4:$G$34,4,FALSE)/100</f>
        <v/>
      </c>
      <c r="L58" s="32">
        <f>G58*VLOOKUP($D58,'Продукты'!$A$4:$G$34,5,FALSE)/100</f>
        <v/>
      </c>
    </row>
    <row r="59">
      <c r="A59" s="22" t="inlineStr">
        <is>
          <t>Ср</t>
        </is>
      </c>
      <c r="B59" s="22" t="inlineStr">
        <is>
          <t>Обед</t>
        </is>
      </c>
      <c r="C59" s="22" t="inlineStr">
        <is>
          <t>Чечевица с курицей</t>
        </is>
      </c>
      <c r="D59" s="22" t="inlineStr">
        <is>
          <t>Томатная паста</t>
        </is>
      </c>
      <c r="E59" s="22" t="n">
        <v>15</v>
      </c>
      <c r="F59" s="31">
        <f>MIN(1.7,MAX(0.65,'Расчёт'!$B$17/1884.6))</f>
        <v/>
      </c>
      <c r="G59" s="22">
        <f>ROUND(E59*F59/5,0)*5</f>
        <v/>
      </c>
      <c r="H59" s="22">
        <f>ROUND(E59*F59*'Расчёт'!$B$10/5,0)*5</f>
        <v/>
      </c>
      <c r="I59" s="32">
        <f>G59*VLOOKUP($D59,'Продукты'!$A$4:$G$34,2,FALSE)/100</f>
        <v/>
      </c>
      <c r="J59" s="32">
        <f>G59*VLOOKUP($D59,'Продукты'!$A$4:$G$34,3,FALSE)/100</f>
        <v/>
      </c>
      <c r="K59" s="32">
        <f>G59*VLOOKUP($D59,'Продукты'!$A$4:$G$34,4,FALSE)/100</f>
        <v/>
      </c>
      <c r="L59" s="32">
        <f>G59*VLOOKUP($D59,'Продукты'!$A$4:$G$34,5,FALSE)/100</f>
        <v/>
      </c>
    </row>
    <row r="60">
      <c r="A60" s="22" t="inlineStr">
        <is>
          <t>Ср</t>
        </is>
      </c>
      <c r="B60" s="22" t="inlineStr">
        <is>
          <t>Обед</t>
        </is>
      </c>
      <c r="C60" s="22" t="inlineStr">
        <is>
          <t>Чечевица с курицей</t>
        </is>
      </c>
      <c r="D60" s="22" t="inlineStr">
        <is>
          <t>Масло растительное</t>
        </is>
      </c>
      <c r="E60" s="22" t="n">
        <v>5</v>
      </c>
      <c r="F60" s="31">
        <f>MIN(1.7,MAX(0.65,'Расчёт'!$B$17/1884.6))</f>
        <v/>
      </c>
      <c r="G60" s="22">
        <f>ROUND(E60*F60/5,0)*5</f>
        <v/>
      </c>
      <c r="H60" s="22">
        <f>ROUND(E60*F60*'Расчёт'!$B$10/5,0)*5</f>
        <v/>
      </c>
      <c r="I60" s="32">
        <f>G60*VLOOKUP($D60,'Продукты'!$A$4:$G$34,2,FALSE)/100</f>
        <v/>
      </c>
      <c r="J60" s="32">
        <f>G60*VLOOKUP($D60,'Продукты'!$A$4:$G$34,3,FALSE)/100</f>
        <v/>
      </c>
      <c r="K60" s="32">
        <f>G60*VLOOKUP($D60,'Продукты'!$A$4:$G$34,4,FALSE)/100</f>
        <v/>
      </c>
      <c r="L60" s="32">
        <f>G60*VLOOKUP($D60,'Продукты'!$A$4:$G$34,5,FALSE)/100</f>
        <v/>
      </c>
    </row>
    <row r="61">
      <c r="A61" s="22" t="inlineStr">
        <is>
          <t>Ср</t>
        </is>
      </c>
      <c r="B61" s="22" t="inlineStr">
        <is>
          <t>Перекус</t>
        </is>
      </c>
      <c r="C61" s="22" t="inlineStr">
        <is>
          <t>Кефир с бананом</t>
        </is>
      </c>
      <c r="D61" s="22" t="inlineStr">
        <is>
          <t>Кефир 1%</t>
        </is>
      </c>
      <c r="E61" s="22" t="n">
        <v>300</v>
      </c>
      <c r="F61" s="31">
        <f>MIN(1.7,MAX(0.65,'Расчёт'!$B$17/1884.6))</f>
        <v/>
      </c>
      <c r="G61" s="22">
        <f>ROUND(E61*F61/5,0)*5</f>
        <v/>
      </c>
      <c r="H61" s="22">
        <f>ROUND(E61*F61*'Расчёт'!$B$10/5,0)*5</f>
        <v/>
      </c>
      <c r="I61" s="32">
        <f>G61*VLOOKUP($D61,'Продукты'!$A$4:$G$34,2,FALSE)/100</f>
        <v/>
      </c>
      <c r="J61" s="32">
        <f>G61*VLOOKUP($D61,'Продукты'!$A$4:$G$34,3,FALSE)/100</f>
        <v/>
      </c>
      <c r="K61" s="32">
        <f>G61*VLOOKUP($D61,'Продукты'!$A$4:$G$34,4,FALSE)/100</f>
        <v/>
      </c>
      <c r="L61" s="32">
        <f>G61*VLOOKUP($D61,'Продукты'!$A$4:$G$34,5,FALSE)/100</f>
        <v/>
      </c>
    </row>
    <row r="62">
      <c r="A62" s="22" t="inlineStr">
        <is>
          <t>Ср</t>
        </is>
      </c>
      <c r="B62" s="22" t="inlineStr">
        <is>
          <t>Перекус</t>
        </is>
      </c>
      <c r="C62" s="22" t="inlineStr">
        <is>
          <t>Кефир с бананом</t>
        </is>
      </c>
      <c r="D62" s="22" t="inlineStr">
        <is>
          <t>Бананы (очищенные)</t>
        </is>
      </c>
      <c r="E62" s="22" t="n">
        <v>110</v>
      </c>
      <c r="F62" s="31">
        <f>MIN(1.7,MAX(0.65,'Расчёт'!$B$17/1884.6))</f>
        <v/>
      </c>
      <c r="G62" s="22">
        <f>ROUND(E62*F62/5,0)*5</f>
        <v/>
      </c>
      <c r="H62" s="22">
        <f>ROUND(E62*F62*'Расчёт'!$B$10/5,0)*5</f>
        <v/>
      </c>
      <c r="I62" s="32">
        <f>G62*VLOOKUP($D62,'Продукты'!$A$4:$G$34,2,FALSE)/100</f>
        <v/>
      </c>
      <c r="J62" s="32">
        <f>G62*VLOOKUP($D62,'Продукты'!$A$4:$G$34,3,FALSE)/100</f>
        <v/>
      </c>
      <c r="K62" s="32">
        <f>G62*VLOOKUP($D62,'Продукты'!$A$4:$G$34,4,FALSE)/100</f>
        <v/>
      </c>
      <c r="L62" s="32">
        <f>G62*VLOOKUP($D62,'Продукты'!$A$4:$G$34,5,FALSE)/100</f>
        <v/>
      </c>
    </row>
    <row r="63">
      <c r="A63" s="22" t="inlineStr">
        <is>
          <t>Ср</t>
        </is>
      </c>
      <c r="B63" s="22" t="inlineStr">
        <is>
          <t>Перекус</t>
        </is>
      </c>
      <c r="C63" s="22" t="inlineStr">
        <is>
          <t>Кефир с бананом</t>
        </is>
      </c>
      <c r="D63" s="22" t="inlineStr">
        <is>
          <t>Хлеб цельнозерновой/ржаной</t>
        </is>
      </c>
      <c r="E63" s="22" t="n">
        <v>30</v>
      </c>
      <c r="F63" s="31">
        <f>MIN(1.7,MAX(0.65,'Расчёт'!$B$17/1884.6))</f>
        <v/>
      </c>
      <c r="G63" s="22">
        <f>ROUND(E63*F63/5,0)*5</f>
        <v/>
      </c>
      <c r="H63" s="22">
        <f>ROUND(E63*F63*'Расчёт'!$B$10/5,0)*5</f>
        <v/>
      </c>
      <c r="I63" s="32">
        <f>G63*VLOOKUP($D63,'Продукты'!$A$4:$G$34,2,FALSE)/100</f>
        <v/>
      </c>
      <c r="J63" s="32">
        <f>G63*VLOOKUP($D63,'Продукты'!$A$4:$G$34,3,FALSE)/100</f>
        <v/>
      </c>
      <c r="K63" s="32">
        <f>G63*VLOOKUP($D63,'Продукты'!$A$4:$G$34,4,FALSE)/100</f>
        <v/>
      </c>
      <c r="L63" s="32">
        <f>G63*VLOOKUP($D63,'Продукты'!$A$4:$G$34,5,FALSE)/100</f>
        <v/>
      </c>
    </row>
    <row r="64">
      <c r="A64" s="22" t="inlineStr">
        <is>
          <t>Ср</t>
        </is>
      </c>
      <c r="B64" s="22" t="inlineStr">
        <is>
          <t>Ужин</t>
        </is>
      </c>
      <c r="C64" s="22" t="inlineStr">
        <is>
          <t>Омлет с овощами и хлебом</t>
        </is>
      </c>
      <c r="D64" s="22" t="inlineStr">
        <is>
          <t>Яйцо</t>
        </is>
      </c>
      <c r="E64" s="22" t="n">
        <v>165</v>
      </c>
      <c r="F64" s="31">
        <f>MIN(1.7,MAX(0.65,'Расчёт'!$B$17/1884.6))</f>
        <v/>
      </c>
      <c r="G64" s="22">
        <f>ROUND(E64*F64/5,0)*5</f>
        <v/>
      </c>
      <c r="H64" s="22">
        <f>ROUND(E64*F64*'Расчёт'!$B$10/5,0)*5</f>
        <v/>
      </c>
      <c r="I64" s="32">
        <f>G64*VLOOKUP($D64,'Продукты'!$A$4:$G$34,2,FALSE)/100</f>
        <v/>
      </c>
      <c r="J64" s="32">
        <f>G64*VLOOKUP($D64,'Продукты'!$A$4:$G$34,3,FALSE)/100</f>
        <v/>
      </c>
      <c r="K64" s="32">
        <f>G64*VLOOKUP($D64,'Продукты'!$A$4:$G$34,4,FALSE)/100</f>
        <v/>
      </c>
      <c r="L64" s="32">
        <f>G64*VLOOKUP($D64,'Продукты'!$A$4:$G$34,5,FALSE)/100</f>
        <v/>
      </c>
    </row>
    <row r="65">
      <c r="A65" s="22" t="inlineStr">
        <is>
          <t>Ср</t>
        </is>
      </c>
      <c r="B65" s="22" t="inlineStr">
        <is>
          <t>Ужин</t>
        </is>
      </c>
      <c r="C65" s="22" t="inlineStr">
        <is>
          <t>Омлет с овощами и хлебом</t>
        </is>
      </c>
      <c r="D65" s="22" t="inlineStr">
        <is>
          <t>Помидоры</t>
        </is>
      </c>
      <c r="E65" s="22" t="n">
        <v>80</v>
      </c>
      <c r="F65" s="31">
        <f>MIN(1.7,MAX(0.65,'Расчёт'!$B$17/1884.6))</f>
        <v/>
      </c>
      <c r="G65" s="22">
        <f>ROUND(E65*F65/5,0)*5</f>
        <v/>
      </c>
      <c r="H65" s="22">
        <f>ROUND(E65*F65*'Расчёт'!$B$10/5,0)*5</f>
        <v/>
      </c>
      <c r="I65" s="32">
        <f>G65*VLOOKUP($D65,'Продукты'!$A$4:$G$34,2,FALSE)/100</f>
        <v/>
      </c>
      <c r="J65" s="32">
        <f>G65*VLOOKUP($D65,'Продукты'!$A$4:$G$34,3,FALSE)/100</f>
        <v/>
      </c>
      <c r="K65" s="32">
        <f>G65*VLOOKUP($D65,'Продукты'!$A$4:$G$34,4,FALSE)/100</f>
        <v/>
      </c>
      <c r="L65" s="32">
        <f>G65*VLOOKUP($D65,'Продукты'!$A$4:$G$34,5,FALSE)/100</f>
        <v/>
      </c>
    </row>
    <row r="66">
      <c r="A66" s="22" t="inlineStr">
        <is>
          <t>Ср</t>
        </is>
      </c>
      <c r="B66" s="22" t="inlineStr">
        <is>
          <t>Ужин</t>
        </is>
      </c>
      <c r="C66" s="22" t="inlineStr">
        <is>
          <t>Омлет с овощами и хлебом</t>
        </is>
      </c>
      <c r="D66" s="22" t="inlineStr">
        <is>
          <t>Лук репчатый</t>
        </is>
      </c>
      <c r="E66" s="22" t="n">
        <v>20</v>
      </c>
      <c r="F66" s="31">
        <f>MIN(1.7,MAX(0.65,'Расчёт'!$B$17/1884.6))</f>
        <v/>
      </c>
      <c r="G66" s="22">
        <f>ROUND(E66*F66/5,0)*5</f>
        <v/>
      </c>
      <c r="H66" s="22">
        <f>ROUND(E66*F66*'Расчёт'!$B$10/5,0)*5</f>
        <v/>
      </c>
      <c r="I66" s="32">
        <f>G66*VLOOKUP($D66,'Продукты'!$A$4:$G$34,2,FALSE)/100</f>
        <v/>
      </c>
      <c r="J66" s="32">
        <f>G66*VLOOKUP($D66,'Продукты'!$A$4:$G$34,3,FALSE)/100</f>
        <v/>
      </c>
      <c r="K66" s="32">
        <f>G66*VLOOKUP($D66,'Продукты'!$A$4:$G$34,4,FALSE)/100</f>
        <v/>
      </c>
      <c r="L66" s="32">
        <f>G66*VLOOKUP($D66,'Продукты'!$A$4:$G$34,5,FALSE)/100</f>
        <v/>
      </c>
    </row>
    <row r="67">
      <c r="A67" s="22" t="inlineStr">
        <is>
          <t>Ср</t>
        </is>
      </c>
      <c r="B67" s="22" t="inlineStr">
        <is>
          <t>Ужин</t>
        </is>
      </c>
      <c r="C67" s="22" t="inlineStr">
        <is>
          <t>Омлет с овощами и хлебом</t>
        </is>
      </c>
      <c r="D67" s="22" t="inlineStr">
        <is>
          <t>Масло растительное</t>
        </is>
      </c>
      <c r="E67" s="22" t="n">
        <v>5</v>
      </c>
      <c r="F67" s="31">
        <f>MIN(1.7,MAX(0.65,'Расчёт'!$B$17/1884.6))</f>
        <v/>
      </c>
      <c r="G67" s="22">
        <f>ROUND(E67*F67/5,0)*5</f>
        <v/>
      </c>
      <c r="H67" s="22">
        <f>ROUND(E67*F67*'Расчёт'!$B$10/5,0)*5</f>
        <v/>
      </c>
      <c r="I67" s="32">
        <f>G67*VLOOKUP($D67,'Продукты'!$A$4:$G$34,2,FALSE)/100</f>
        <v/>
      </c>
      <c r="J67" s="32">
        <f>G67*VLOOKUP($D67,'Продукты'!$A$4:$G$34,3,FALSE)/100</f>
        <v/>
      </c>
      <c r="K67" s="32">
        <f>G67*VLOOKUP($D67,'Продукты'!$A$4:$G$34,4,FALSE)/100</f>
        <v/>
      </c>
      <c r="L67" s="32">
        <f>G67*VLOOKUP($D67,'Продукты'!$A$4:$G$34,5,FALSE)/100</f>
        <v/>
      </c>
    </row>
    <row r="68">
      <c r="A68" s="22" t="inlineStr">
        <is>
          <t>Ср</t>
        </is>
      </c>
      <c r="B68" s="22" t="inlineStr">
        <is>
          <t>Ужин</t>
        </is>
      </c>
      <c r="C68" s="22" t="inlineStr">
        <is>
          <t>Омлет с овощами и хлебом</t>
        </is>
      </c>
      <c r="D68" s="22" t="inlineStr">
        <is>
          <t>Хлеб цельнозерновой/ржаной</t>
        </is>
      </c>
      <c r="E68" s="22" t="n">
        <v>40</v>
      </c>
      <c r="F68" s="31">
        <f>MIN(1.7,MAX(0.65,'Расчёт'!$B$17/1884.6))</f>
        <v/>
      </c>
      <c r="G68" s="22">
        <f>ROUND(E68*F68/5,0)*5</f>
        <v/>
      </c>
      <c r="H68" s="22">
        <f>ROUND(E68*F68*'Расчёт'!$B$10/5,0)*5</f>
        <v/>
      </c>
      <c r="I68" s="32">
        <f>G68*VLOOKUP($D68,'Продукты'!$A$4:$G$34,2,FALSE)/100</f>
        <v/>
      </c>
      <c r="J68" s="32">
        <f>G68*VLOOKUP($D68,'Продукты'!$A$4:$G$34,3,FALSE)/100</f>
        <v/>
      </c>
      <c r="K68" s="32">
        <f>G68*VLOOKUP($D68,'Продукты'!$A$4:$G$34,4,FALSE)/100</f>
        <v/>
      </c>
      <c r="L68" s="32">
        <f>G68*VLOOKUP($D68,'Продукты'!$A$4:$G$34,5,FALSE)/100</f>
        <v/>
      </c>
    </row>
    <row r="69">
      <c r="A69" s="25" t="inlineStr">
        <is>
          <t>Чт</t>
        </is>
      </c>
      <c r="B69" s="25" t="inlineStr">
        <is>
          <t>Завтрак</t>
        </is>
      </c>
      <c r="C69" s="25" t="inlineStr">
        <is>
          <t>Яйца вкрутую, хлеб, творог, овощи</t>
        </is>
      </c>
      <c r="D69" s="25" t="inlineStr">
        <is>
          <t>Яйцо</t>
        </is>
      </c>
      <c r="E69" s="25" t="n">
        <v>110</v>
      </c>
      <c r="F69" s="33">
        <f>MIN(1.7,MAX(0.65,'Расчёт'!$B$17/2013.1))</f>
        <v/>
      </c>
      <c r="G69" s="25">
        <f>ROUND(E69*F69/5,0)*5</f>
        <v/>
      </c>
      <c r="H69" s="25">
        <f>ROUND(E69*F69*'Расчёт'!$B$10/5,0)*5</f>
        <v/>
      </c>
      <c r="I69" s="34">
        <f>G69*VLOOKUP($D69,'Продукты'!$A$4:$G$34,2,FALSE)/100</f>
        <v/>
      </c>
      <c r="J69" s="34">
        <f>G69*VLOOKUP($D69,'Продукты'!$A$4:$G$34,3,FALSE)/100</f>
        <v/>
      </c>
      <c r="K69" s="34">
        <f>G69*VLOOKUP($D69,'Продукты'!$A$4:$G$34,4,FALSE)/100</f>
        <v/>
      </c>
      <c r="L69" s="34">
        <f>G69*VLOOKUP($D69,'Продукты'!$A$4:$G$34,5,FALSE)/100</f>
        <v/>
      </c>
    </row>
    <row r="70">
      <c r="A70" s="25" t="inlineStr">
        <is>
          <t>Чт</t>
        </is>
      </c>
      <c r="B70" s="25" t="inlineStr">
        <is>
          <t>Завтрак</t>
        </is>
      </c>
      <c r="C70" s="25" t="inlineStr">
        <is>
          <t>Яйца вкрутую, хлеб, творог, овощи</t>
        </is>
      </c>
      <c r="D70" s="25" t="inlineStr">
        <is>
          <t>Хлеб цельнозерновой/ржаной</t>
        </is>
      </c>
      <c r="E70" s="25" t="n">
        <v>50</v>
      </c>
      <c r="F70" s="33">
        <f>MIN(1.7,MAX(0.65,'Расчёт'!$B$17/2013.1))</f>
        <v/>
      </c>
      <c r="G70" s="25">
        <f>ROUND(E70*F70/5,0)*5</f>
        <v/>
      </c>
      <c r="H70" s="25">
        <f>ROUND(E70*F70*'Расчёт'!$B$10/5,0)*5</f>
        <v/>
      </c>
      <c r="I70" s="34">
        <f>G70*VLOOKUP($D70,'Продукты'!$A$4:$G$34,2,FALSE)/100</f>
        <v/>
      </c>
      <c r="J70" s="34">
        <f>G70*VLOOKUP($D70,'Продукты'!$A$4:$G$34,3,FALSE)/100</f>
        <v/>
      </c>
      <c r="K70" s="34">
        <f>G70*VLOOKUP($D70,'Продукты'!$A$4:$G$34,4,FALSE)/100</f>
        <v/>
      </c>
      <c r="L70" s="34">
        <f>G70*VLOOKUP($D70,'Продукты'!$A$4:$G$34,5,FALSE)/100</f>
        <v/>
      </c>
    </row>
    <row r="71">
      <c r="A71" s="25" t="inlineStr">
        <is>
          <t>Чт</t>
        </is>
      </c>
      <c r="B71" s="25" t="inlineStr">
        <is>
          <t>Завтрак</t>
        </is>
      </c>
      <c r="C71" s="25" t="inlineStr">
        <is>
          <t>Яйца вкрутую, хлеб, творог, овощи</t>
        </is>
      </c>
      <c r="D71" s="25" t="inlineStr">
        <is>
          <t>Творог 5%</t>
        </is>
      </c>
      <c r="E71" s="25" t="n">
        <v>100</v>
      </c>
      <c r="F71" s="33">
        <f>MIN(1.7,MAX(0.65,'Расчёт'!$B$17/2013.1))</f>
        <v/>
      </c>
      <c r="G71" s="25">
        <f>ROUND(E71*F71/5,0)*5</f>
        <v/>
      </c>
      <c r="H71" s="25">
        <f>ROUND(E71*F71*'Расчёт'!$B$10/5,0)*5</f>
        <v/>
      </c>
      <c r="I71" s="34">
        <f>G71*VLOOKUP($D71,'Продукты'!$A$4:$G$34,2,FALSE)/100</f>
        <v/>
      </c>
      <c r="J71" s="34">
        <f>G71*VLOOKUP($D71,'Продукты'!$A$4:$G$34,3,FALSE)/100</f>
        <v/>
      </c>
      <c r="K71" s="34">
        <f>G71*VLOOKUP($D71,'Продукты'!$A$4:$G$34,4,FALSE)/100</f>
        <v/>
      </c>
      <c r="L71" s="34">
        <f>G71*VLOOKUP($D71,'Продукты'!$A$4:$G$34,5,FALSE)/100</f>
        <v/>
      </c>
    </row>
    <row r="72">
      <c r="A72" s="25" t="inlineStr">
        <is>
          <t>Чт</t>
        </is>
      </c>
      <c r="B72" s="25" t="inlineStr">
        <is>
          <t>Завтрак</t>
        </is>
      </c>
      <c r="C72" s="25" t="inlineStr">
        <is>
          <t>Яйца вкрутую, хлеб, творог, овощи</t>
        </is>
      </c>
      <c r="D72" s="25" t="inlineStr">
        <is>
          <t>Огурцы</t>
        </is>
      </c>
      <c r="E72" s="25" t="n">
        <v>100</v>
      </c>
      <c r="F72" s="33">
        <f>MIN(1.7,MAX(0.65,'Расчёт'!$B$17/2013.1))</f>
        <v/>
      </c>
      <c r="G72" s="25">
        <f>ROUND(E72*F72/5,0)*5</f>
        <v/>
      </c>
      <c r="H72" s="25">
        <f>ROUND(E72*F72*'Расчёт'!$B$10/5,0)*5</f>
        <v/>
      </c>
      <c r="I72" s="34">
        <f>G72*VLOOKUP($D72,'Продукты'!$A$4:$G$34,2,FALSE)/100</f>
        <v/>
      </c>
      <c r="J72" s="34">
        <f>G72*VLOOKUP($D72,'Продукты'!$A$4:$G$34,3,FALSE)/100</f>
        <v/>
      </c>
      <c r="K72" s="34">
        <f>G72*VLOOKUP($D72,'Продукты'!$A$4:$G$34,4,FALSE)/100</f>
        <v/>
      </c>
      <c r="L72" s="34">
        <f>G72*VLOOKUP($D72,'Продукты'!$A$4:$G$34,5,FALSE)/100</f>
        <v/>
      </c>
    </row>
    <row r="73">
      <c r="A73" s="25" t="inlineStr">
        <is>
          <t>Чт</t>
        </is>
      </c>
      <c r="B73" s="25" t="inlineStr">
        <is>
          <t>Завтрак</t>
        </is>
      </c>
      <c r="C73" s="25" t="inlineStr">
        <is>
          <t>Яйца вкрутую, хлеб, творог, овощи</t>
        </is>
      </c>
      <c r="D73" s="25" t="inlineStr">
        <is>
          <t>Помидоры</t>
        </is>
      </c>
      <c r="E73" s="25" t="n">
        <v>100</v>
      </c>
      <c r="F73" s="33">
        <f>MIN(1.7,MAX(0.65,'Расчёт'!$B$17/2013.1))</f>
        <v/>
      </c>
      <c r="G73" s="25">
        <f>ROUND(E73*F73/5,0)*5</f>
        <v/>
      </c>
      <c r="H73" s="25">
        <f>ROUND(E73*F73*'Расчёт'!$B$10/5,0)*5</f>
        <v/>
      </c>
      <c r="I73" s="34">
        <f>G73*VLOOKUP($D73,'Продукты'!$A$4:$G$34,2,FALSE)/100</f>
        <v/>
      </c>
      <c r="J73" s="34">
        <f>G73*VLOOKUP($D73,'Продукты'!$A$4:$G$34,3,FALSE)/100</f>
        <v/>
      </c>
      <c r="K73" s="34">
        <f>G73*VLOOKUP($D73,'Продукты'!$A$4:$G$34,4,FALSE)/100</f>
        <v/>
      </c>
      <c r="L73" s="34">
        <f>G73*VLOOKUP($D73,'Продукты'!$A$4:$G$34,5,FALSE)/100</f>
        <v/>
      </c>
    </row>
    <row r="74">
      <c r="A74" s="25" t="inlineStr">
        <is>
          <t>Чт</t>
        </is>
      </c>
      <c r="B74" s="25" t="inlineStr">
        <is>
          <t>Обед</t>
        </is>
      </c>
      <c r="C74" s="25" t="inlineStr">
        <is>
          <t>Макароны с куриным фаршем и томатом</t>
        </is>
      </c>
      <c r="D74" s="25" t="inlineStr">
        <is>
          <t>Макароны (сухие)</t>
        </is>
      </c>
      <c r="E74" s="25" t="n">
        <v>80</v>
      </c>
      <c r="F74" s="33">
        <f>MIN(1.7,MAX(0.65,'Расчёт'!$B$17/2013.1))</f>
        <v/>
      </c>
      <c r="G74" s="25">
        <f>ROUND(E74*F74/5,0)*5</f>
        <v/>
      </c>
      <c r="H74" s="25">
        <f>ROUND(E74*F74*'Расчёт'!$B$10/5,0)*5</f>
        <v/>
      </c>
      <c r="I74" s="34">
        <f>G74*VLOOKUP($D74,'Продукты'!$A$4:$G$34,2,FALSE)/100</f>
        <v/>
      </c>
      <c r="J74" s="34">
        <f>G74*VLOOKUP($D74,'Продукты'!$A$4:$G$34,3,FALSE)/100</f>
        <v/>
      </c>
      <c r="K74" s="34">
        <f>G74*VLOOKUP($D74,'Продукты'!$A$4:$G$34,4,FALSE)/100</f>
        <v/>
      </c>
      <c r="L74" s="34">
        <f>G74*VLOOKUP($D74,'Продукты'!$A$4:$G$34,5,FALSE)/100</f>
        <v/>
      </c>
    </row>
    <row r="75">
      <c r="A75" s="25" t="inlineStr">
        <is>
          <t>Чт</t>
        </is>
      </c>
      <c r="B75" s="25" t="inlineStr">
        <is>
          <t>Обед</t>
        </is>
      </c>
      <c r="C75" s="25" t="inlineStr">
        <is>
          <t>Макароны с куриным фаршем и томатом</t>
        </is>
      </c>
      <c r="D75" s="25" t="inlineStr">
        <is>
          <t>Куриный фарш</t>
        </is>
      </c>
      <c r="E75" s="25" t="n">
        <v>150</v>
      </c>
      <c r="F75" s="33">
        <f>MIN(1.7,MAX(0.65,'Расчёт'!$B$17/2013.1))</f>
        <v/>
      </c>
      <c r="G75" s="25">
        <f>ROUND(E75*F75/5,0)*5</f>
        <v/>
      </c>
      <c r="H75" s="25">
        <f>ROUND(E75*F75*'Расчёт'!$B$10/5,0)*5</f>
        <v/>
      </c>
      <c r="I75" s="34">
        <f>G75*VLOOKUP($D75,'Продукты'!$A$4:$G$34,2,FALSE)/100</f>
        <v/>
      </c>
      <c r="J75" s="34">
        <f>G75*VLOOKUP($D75,'Продукты'!$A$4:$G$34,3,FALSE)/100</f>
        <v/>
      </c>
      <c r="K75" s="34">
        <f>G75*VLOOKUP($D75,'Продукты'!$A$4:$G$34,4,FALSE)/100</f>
        <v/>
      </c>
      <c r="L75" s="34">
        <f>G75*VLOOKUP($D75,'Продукты'!$A$4:$G$34,5,FALSE)/100</f>
        <v/>
      </c>
    </row>
    <row r="76">
      <c r="A76" s="25" t="inlineStr">
        <is>
          <t>Чт</t>
        </is>
      </c>
      <c r="B76" s="25" t="inlineStr">
        <is>
          <t>Обед</t>
        </is>
      </c>
      <c r="C76" s="25" t="inlineStr">
        <is>
          <t>Макароны с куриным фаршем и томатом</t>
        </is>
      </c>
      <c r="D76" s="25" t="inlineStr">
        <is>
          <t>Лук репчатый</t>
        </is>
      </c>
      <c r="E76" s="25" t="n">
        <v>40</v>
      </c>
      <c r="F76" s="33">
        <f>MIN(1.7,MAX(0.65,'Расчёт'!$B$17/2013.1))</f>
        <v/>
      </c>
      <c r="G76" s="25">
        <f>ROUND(E76*F76/5,0)*5</f>
        <v/>
      </c>
      <c r="H76" s="25">
        <f>ROUND(E76*F76*'Расчёт'!$B$10/5,0)*5</f>
        <v/>
      </c>
      <c r="I76" s="34">
        <f>G76*VLOOKUP($D76,'Продукты'!$A$4:$G$34,2,FALSE)/100</f>
        <v/>
      </c>
      <c r="J76" s="34">
        <f>G76*VLOOKUP($D76,'Продукты'!$A$4:$G$34,3,FALSE)/100</f>
        <v/>
      </c>
      <c r="K76" s="34">
        <f>G76*VLOOKUP($D76,'Продукты'!$A$4:$G$34,4,FALSE)/100</f>
        <v/>
      </c>
      <c r="L76" s="34">
        <f>G76*VLOOKUP($D76,'Продукты'!$A$4:$G$34,5,FALSE)/100</f>
        <v/>
      </c>
    </row>
    <row r="77">
      <c r="A77" s="25" t="inlineStr">
        <is>
          <t>Чт</t>
        </is>
      </c>
      <c r="B77" s="25" t="inlineStr">
        <is>
          <t>Обед</t>
        </is>
      </c>
      <c r="C77" s="25" t="inlineStr">
        <is>
          <t>Макароны с куриным фаршем и томатом</t>
        </is>
      </c>
      <c r="D77" s="25" t="inlineStr">
        <is>
          <t>Томатная паста</t>
        </is>
      </c>
      <c r="E77" s="25" t="n">
        <v>20</v>
      </c>
      <c r="F77" s="33">
        <f>MIN(1.7,MAX(0.65,'Расчёт'!$B$17/2013.1))</f>
        <v/>
      </c>
      <c r="G77" s="25">
        <f>ROUND(E77*F77/5,0)*5</f>
        <v/>
      </c>
      <c r="H77" s="25">
        <f>ROUND(E77*F77*'Расчёт'!$B$10/5,0)*5</f>
        <v/>
      </c>
      <c r="I77" s="34">
        <f>G77*VLOOKUP($D77,'Продукты'!$A$4:$G$34,2,FALSE)/100</f>
        <v/>
      </c>
      <c r="J77" s="34">
        <f>G77*VLOOKUP($D77,'Продукты'!$A$4:$G$34,3,FALSE)/100</f>
        <v/>
      </c>
      <c r="K77" s="34">
        <f>G77*VLOOKUP($D77,'Продукты'!$A$4:$G$34,4,FALSE)/100</f>
        <v/>
      </c>
      <c r="L77" s="34">
        <f>G77*VLOOKUP($D77,'Продукты'!$A$4:$G$34,5,FALSE)/100</f>
        <v/>
      </c>
    </row>
    <row r="78">
      <c r="A78" s="25" t="inlineStr">
        <is>
          <t>Чт</t>
        </is>
      </c>
      <c r="B78" s="25" t="inlineStr">
        <is>
          <t>Обед</t>
        </is>
      </c>
      <c r="C78" s="25" t="inlineStr">
        <is>
          <t>Макароны с куриным фаршем и томатом</t>
        </is>
      </c>
      <c r="D78" s="25" t="inlineStr">
        <is>
          <t>Помидоры</t>
        </is>
      </c>
      <c r="E78" s="25" t="n">
        <v>100</v>
      </c>
      <c r="F78" s="33">
        <f>MIN(1.7,MAX(0.65,'Расчёт'!$B$17/2013.1))</f>
        <v/>
      </c>
      <c r="G78" s="25">
        <f>ROUND(E78*F78/5,0)*5</f>
        <v/>
      </c>
      <c r="H78" s="25">
        <f>ROUND(E78*F78*'Расчёт'!$B$10/5,0)*5</f>
        <v/>
      </c>
      <c r="I78" s="34">
        <f>G78*VLOOKUP($D78,'Продукты'!$A$4:$G$34,2,FALSE)/100</f>
        <v/>
      </c>
      <c r="J78" s="34">
        <f>G78*VLOOKUP($D78,'Продукты'!$A$4:$G$34,3,FALSE)/100</f>
        <v/>
      </c>
      <c r="K78" s="34">
        <f>G78*VLOOKUP($D78,'Продукты'!$A$4:$G$34,4,FALSE)/100</f>
        <v/>
      </c>
      <c r="L78" s="34">
        <f>G78*VLOOKUP($D78,'Продукты'!$A$4:$G$34,5,FALSE)/100</f>
        <v/>
      </c>
    </row>
    <row r="79">
      <c r="A79" s="25" t="inlineStr">
        <is>
          <t>Чт</t>
        </is>
      </c>
      <c r="B79" s="25" t="inlineStr">
        <is>
          <t>Обед</t>
        </is>
      </c>
      <c r="C79" s="25" t="inlineStr">
        <is>
          <t>Макароны с куриным фаршем и томатом</t>
        </is>
      </c>
      <c r="D79" s="25" t="inlineStr">
        <is>
          <t>Масло растительное</t>
        </is>
      </c>
      <c r="E79" s="25" t="n">
        <v>3</v>
      </c>
      <c r="F79" s="33">
        <f>MIN(1.7,MAX(0.65,'Расчёт'!$B$17/2013.1))</f>
        <v/>
      </c>
      <c r="G79" s="25">
        <f>ROUND(E79*F79/5,0)*5</f>
        <v/>
      </c>
      <c r="H79" s="25">
        <f>ROUND(E79*F79*'Расчёт'!$B$10/5,0)*5</f>
        <v/>
      </c>
      <c r="I79" s="34">
        <f>G79*VLOOKUP($D79,'Продукты'!$A$4:$G$34,2,FALSE)/100</f>
        <v/>
      </c>
      <c r="J79" s="34">
        <f>G79*VLOOKUP($D79,'Продукты'!$A$4:$G$34,3,FALSE)/100</f>
        <v/>
      </c>
      <c r="K79" s="34">
        <f>G79*VLOOKUP($D79,'Продукты'!$A$4:$G$34,4,FALSE)/100</f>
        <v/>
      </c>
      <c r="L79" s="34">
        <f>G79*VLOOKUP($D79,'Продукты'!$A$4:$G$34,5,FALSE)/100</f>
        <v/>
      </c>
    </row>
    <row r="80">
      <c r="A80" s="25" t="inlineStr">
        <is>
          <t>Чт</t>
        </is>
      </c>
      <c r="B80" s="25" t="inlineStr">
        <is>
          <t>Обед</t>
        </is>
      </c>
      <c r="C80" s="25" t="inlineStr">
        <is>
          <t>Салат айсберг с яйцом и йогуртом</t>
        </is>
      </c>
      <c r="D80" s="25" t="inlineStr">
        <is>
          <t>Салат айсберг</t>
        </is>
      </c>
      <c r="E80" s="25" t="n">
        <v>150</v>
      </c>
      <c r="F80" s="33">
        <f>MIN(1.7,MAX(0.65,'Расчёт'!$B$17/2013.1))</f>
        <v/>
      </c>
      <c r="G80" s="25">
        <f>ROUND(E80*F80/5,0)*5</f>
        <v/>
      </c>
      <c r="H80" s="25">
        <f>ROUND(E80*F80*'Расчёт'!$B$10/5,0)*5</f>
        <v/>
      </c>
      <c r="I80" s="34">
        <f>G80*VLOOKUP($D80,'Продукты'!$A$4:$G$34,2,FALSE)/100</f>
        <v/>
      </c>
      <c r="J80" s="34">
        <f>G80*VLOOKUP($D80,'Продукты'!$A$4:$G$34,3,FALSE)/100</f>
        <v/>
      </c>
      <c r="K80" s="34">
        <f>G80*VLOOKUP($D80,'Продукты'!$A$4:$G$34,4,FALSE)/100</f>
        <v/>
      </c>
      <c r="L80" s="34">
        <f>G80*VLOOKUP($D80,'Продукты'!$A$4:$G$34,5,FALSE)/100</f>
        <v/>
      </c>
    </row>
    <row r="81">
      <c r="A81" s="25" t="inlineStr">
        <is>
          <t>Чт</t>
        </is>
      </c>
      <c r="B81" s="25" t="inlineStr">
        <is>
          <t>Обед</t>
        </is>
      </c>
      <c r="C81" s="25" t="inlineStr">
        <is>
          <t>Салат айсберг с яйцом и йогуртом</t>
        </is>
      </c>
      <c r="D81" s="25" t="inlineStr">
        <is>
          <t>Огурцы</t>
        </is>
      </c>
      <c r="E81" s="25" t="n">
        <v>100</v>
      </c>
      <c r="F81" s="33">
        <f>MIN(1.7,MAX(0.65,'Расчёт'!$B$17/2013.1))</f>
        <v/>
      </c>
      <c r="G81" s="25">
        <f>ROUND(E81*F81/5,0)*5</f>
        <v/>
      </c>
      <c r="H81" s="25">
        <f>ROUND(E81*F81*'Расчёт'!$B$10/5,0)*5</f>
        <v/>
      </c>
      <c r="I81" s="34">
        <f>G81*VLOOKUP($D81,'Продукты'!$A$4:$G$34,2,FALSE)/100</f>
        <v/>
      </c>
      <c r="J81" s="34">
        <f>G81*VLOOKUP($D81,'Продукты'!$A$4:$G$34,3,FALSE)/100</f>
        <v/>
      </c>
      <c r="K81" s="34">
        <f>G81*VLOOKUP($D81,'Продукты'!$A$4:$G$34,4,FALSE)/100</f>
        <v/>
      </c>
      <c r="L81" s="34">
        <f>G81*VLOOKUP($D81,'Продукты'!$A$4:$G$34,5,FALSE)/100</f>
        <v/>
      </c>
    </row>
    <row r="82">
      <c r="A82" s="25" t="inlineStr">
        <is>
          <t>Чт</t>
        </is>
      </c>
      <c r="B82" s="25" t="inlineStr">
        <is>
          <t>Обед</t>
        </is>
      </c>
      <c r="C82" s="25" t="inlineStr">
        <is>
          <t>Салат айсберг с яйцом и йогуртом</t>
        </is>
      </c>
      <c r="D82" s="25" t="inlineStr">
        <is>
          <t>Яйцо</t>
        </is>
      </c>
      <c r="E82" s="25" t="n">
        <v>55</v>
      </c>
      <c r="F82" s="33">
        <f>MIN(1.7,MAX(0.65,'Расчёт'!$B$17/2013.1))</f>
        <v/>
      </c>
      <c r="G82" s="25">
        <f>ROUND(E82*F82/5,0)*5</f>
        <v/>
      </c>
      <c r="H82" s="25">
        <f>ROUND(E82*F82*'Расчёт'!$B$10/5,0)*5</f>
        <v/>
      </c>
      <c r="I82" s="34">
        <f>G82*VLOOKUP($D82,'Продукты'!$A$4:$G$34,2,FALSE)/100</f>
        <v/>
      </c>
      <c r="J82" s="34">
        <f>G82*VLOOKUP($D82,'Продукты'!$A$4:$G$34,3,FALSE)/100</f>
        <v/>
      </c>
      <c r="K82" s="34">
        <f>G82*VLOOKUP($D82,'Продукты'!$A$4:$G$34,4,FALSE)/100</f>
        <v/>
      </c>
      <c r="L82" s="34">
        <f>G82*VLOOKUP($D82,'Продукты'!$A$4:$G$34,5,FALSE)/100</f>
        <v/>
      </c>
    </row>
    <row r="83">
      <c r="A83" s="25" t="inlineStr">
        <is>
          <t>Чт</t>
        </is>
      </c>
      <c r="B83" s="25" t="inlineStr">
        <is>
          <t>Обед</t>
        </is>
      </c>
      <c r="C83" s="25" t="inlineStr">
        <is>
          <t>Салат айсберг с яйцом и йогуртом</t>
        </is>
      </c>
      <c r="D83" s="25" t="inlineStr">
        <is>
          <t>Йогурт натуральный</t>
        </is>
      </c>
      <c r="E83" s="25" t="n">
        <v>40</v>
      </c>
      <c r="F83" s="33">
        <f>MIN(1.7,MAX(0.65,'Расчёт'!$B$17/2013.1))</f>
        <v/>
      </c>
      <c r="G83" s="25">
        <f>ROUND(E83*F83/5,0)*5</f>
        <v/>
      </c>
      <c r="H83" s="25">
        <f>ROUND(E83*F83*'Расчёт'!$B$10/5,0)*5</f>
        <v/>
      </c>
      <c r="I83" s="34">
        <f>G83*VLOOKUP($D83,'Продукты'!$A$4:$G$34,2,FALSE)/100</f>
        <v/>
      </c>
      <c r="J83" s="34">
        <f>G83*VLOOKUP($D83,'Продукты'!$A$4:$G$34,3,FALSE)/100</f>
        <v/>
      </c>
      <c r="K83" s="34">
        <f>G83*VLOOKUP($D83,'Продукты'!$A$4:$G$34,4,FALSE)/100</f>
        <v/>
      </c>
      <c r="L83" s="34">
        <f>G83*VLOOKUP($D83,'Продукты'!$A$4:$G$34,5,FALSE)/100</f>
        <v/>
      </c>
    </row>
    <row r="84">
      <c r="A84" s="25" t="inlineStr">
        <is>
          <t>Чт</t>
        </is>
      </c>
      <c r="B84" s="25" t="inlineStr">
        <is>
          <t>Обед</t>
        </is>
      </c>
      <c r="C84" s="25" t="inlineStr">
        <is>
          <t>Салат айсберг с яйцом и йогуртом</t>
        </is>
      </c>
      <c r="D84" s="25" t="inlineStr">
        <is>
          <t>Масло растительное</t>
        </is>
      </c>
      <c r="E84" s="25" t="n">
        <v>3</v>
      </c>
      <c r="F84" s="33">
        <f>MIN(1.7,MAX(0.65,'Расчёт'!$B$17/2013.1))</f>
        <v/>
      </c>
      <c r="G84" s="25">
        <f>ROUND(E84*F84/5,0)*5</f>
        <v/>
      </c>
      <c r="H84" s="25">
        <f>ROUND(E84*F84*'Расчёт'!$B$10/5,0)*5</f>
        <v/>
      </c>
      <c r="I84" s="34">
        <f>G84*VLOOKUP($D84,'Продукты'!$A$4:$G$34,2,FALSE)/100</f>
        <v/>
      </c>
      <c r="J84" s="34">
        <f>G84*VLOOKUP($D84,'Продукты'!$A$4:$G$34,3,FALSE)/100</f>
        <v/>
      </c>
      <c r="K84" s="34">
        <f>G84*VLOOKUP($D84,'Продукты'!$A$4:$G$34,4,FALSE)/100</f>
        <v/>
      </c>
      <c r="L84" s="34">
        <f>G84*VLOOKUP($D84,'Продукты'!$A$4:$G$34,5,FALSE)/100</f>
        <v/>
      </c>
    </row>
    <row r="85">
      <c r="A85" s="25" t="inlineStr">
        <is>
          <t>Чт</t>
        </is>
      </c>
      <c r="B85" s="25" t="inlineStr">
        <is>
          <t>Перекус</t>
        </is>
      </c>
      <c r="C85" s="25" t="inlineStr">
        <is>
          <t>Творог с яблоком</t>
        </is>
      </c>
      <c r="D85" s="25" t="inlineStr">
        <is>
          <t>Творог 5%</t>
        </is>
      </c>
      <c r="E85" s="25" t="n">
        <v>150</v>
      </c>
      <c r="F85" s="33">
        <f>MIN(1.7,MAX(0.65,'Расчёт'!$B$17/2013.1))</f>
        <v/>
      </c>
      <c r="G85" s="25">
        <f>ROUND(E85*F85/5,0)*5</f>
        <v/>
      </c>
      <c r="H85" s="25">
        <f>ROUND(E85*F85*'Расчёт'!$B$10/5,0)*5</f>
        <v/>
      </c>
      <c r="I85" s="34">
        <f>G85*VLOOKUP($D85,'Продукты'!$A$4:$G$34,2,FALSE)/100</f>
        <v/>
      </c>
      <c r="J85" s="34">
        <f>G85*VLOOKUP($D85,'Продукты'!$A$4:$G$34,3,FALSE)/100</f>
        <v/>
      </c>
      <c r="K85" s="34">
        <f>G85*VLOOKUP($D85,'Продукты'!$A$4:$G$34,4,FALSE)/100</f>
        <v/>
      </c>
      <c r="L85" s="34">
        <f>G85*VLOOKUP($D85,'Продукты'!$A$4:$G$34,5,FALSE)/100</f>
        <v/>
      </c>
    </row>
    <row r="86">
      <c r="A86" s="25" t="inlineStr">
        <is>
          <t>Чт</t>
        </is>
      </c>
      <c r="B86" s="25" t="inlineStr">
        <is>
          <t>Перекус</t>
        </is>
      </c>
      <c r="C86" s="25" t="inlineStr">
        <is>
          <t>Творог с яблоком</t>
        </is>
      </c>
      <c r="D86" s="25" t="inlineStr">
        <is>
          <t>Яблоки</t>
        </is>
      </c>
      <c r="E86" s="25" t="n">
        <v>150</v>
      </c>
      <c r="F86" s="33">
        <f>MIN(1.7,MAX(0.65,'Расчёт'!$B$17/2013.1))</f>
        <v/>
      </c>
      <c r="G86" s="25">
        <f>ROUND(E86*F86/5,0)*5</f>
        <v/>
      </c>
      <c r="H86" s="25">
        <f>ROUND(E86*F86*'Расчёт'!$B$10/5,0)*5</f>
        <v/>
      </c>
      <c r="I86" s="34">
        <f>G86*VLOOKUP($D86,'Продукты'!$A$4:$G$34,2,FALSE)/100</f>
        <v/>
      </c>
      <c r="J86" s="34">
        <f>G86*VLOOKUP($D86,'Продукты'!$A$4:$G$34,3,FALSE)/100</f>
        <v/>
      </c>
      <c r="K86" s="34">
        <f>G86*VLOOKUP($D86,'Продукты'!$A$4:$G$34,4,FALSE)/100</f>
        <v/>
      </c>
      <c r="L86" s="34">
        <f>G86*VLOOKUP($D86,'Продукты'!$A$4:$G$34,5,FALSE)/100</f>
        <v/>
      </c>
    </row>
    <row r="87">
      <c r="A87" s="25" t="inlineStr">
        <is>
          <t>Чт</t>
        </is>
      </c>
      <c r="B87" s="25" t="inlineStr">
        <is>
          <t>Ужин</t>
        </is>
      </c>
      <c r="C87" s="25" t="inlineStr">
        <is>
          <t>Гречка с яйцами и овощами</t>
        </is>
      </c>
      <c r="D87" s="25" t="inlineStr">
        <is>
          <t>Гречка (сухая)</t>
        </is>
      </c>
      <c r="E87" s="25" t="n">
        <v>60</v>
      </c>
      <c r="F87" s="33">
        <f>MIN(1.7,MAX(0.65,'Расчёт'!$B$17/2013.1))</f>
        <v/>
      </c>
      <c r="G87" s="25">
        <f>ROUND(E87*F87/5,0)*5</f>
        <v/>
      </c>
      <c r="H87" s="25">
        <f>ROUND(E87*F87*'Расчёт'!$B$10/5,0)*5</f>
        <v/>
      </c>
      <c r="I87" s="34">
        <f>G87*VLOOKUP($D87,'Продукты'!$A$4:$G$34,2,FALSE)/100</f>
        <v/>
      </c>
      <c r="J87" s="34">
        <f>G87*VLOOKUP($D87,'Продукты'!$A$4:$G$34,3,FALSE)/100</f>
        <v/>
      </c>
      <c r="K87" s="34">
        <f>G87*VLOOKUP($D87,'Продукты'!$A$4:$G$34,4,FALSE)/100</f>
        <v/>
      </c>
      <c r="L87" s="34">
        <f>G87*VLOOKUP($D87,'Продукты'!$A$4:$G$34,5,FALSE)/100</f>
        <v/>
      </c>
    </row>
    <row r="88">
      <c r="A88" s="25" t="inlineStr">
        <is>
          <t>Чт</t>
        </is>
      </c>
      <c r="B88" s="25" t="inlineStr">
        <is>
          <t>Ужин</t>
        </is>
      </c>
      <c r="C88" s="25" t="inlineStr">
        <is>
          <t>Гречка с яйцами и овощами</t>
        </is>
      </c>
      <c r="D88" s="25" t="inlineStr">
        <is>
          <t>Яйцо</t>
        </is>
      </c>
      <c r="E88" s="25" t="n">
        <v>110</v>
      </c>
      <c r="F88" s="33">
        <f>MIN(1.7,MAX(0.65,'Расчёт'!$B$17/2013.1))</f>
        <v/>
      </c>
      <c r="G88" s="25">
        <f>ROUND(E88*F88/5,0)*5</f>
        <v/>
      </c>
      <c r="H88" s="25">
        <f>ROUND(E88*F88*'Расчёт'!$B$10/5,0)*5</f>
        <v/>
      </c>
      <c r="I88" s="34">
        <f>G88*VLOOKUP($D88,'Продукты'!$A$4:$G$34,2,FALSE)/100</f>
        <v/>
      </c>
      <c r="J88" s="34">
        <f>G88*VLOOKUP($D88,'Продукты'!$A$4:$G$34,3,FALSE)/100</f>
        <v/>
      </c>
      <c r="K88" s="34">
        <f>G88*VLOOKUP($D88,'Продукты'!$A$4:$G$34,4,FALSE)/100</f>
        <v/>
      </c>
      <c r="L88" s="34">
        <f>G88*VLOOKUP($D88,'Продукты'!$A$4:$G$34,5,FALSE)/100</f>
        <v/>
      </c>
    </row>
    <row r="89">
      <c r="A89" s="25" t="inlineStr">
        <is>
          <t>Чт</t>
        </is>
      </c>
      <c r="B89" s="25" t="inlineStr">
        <is>
          <t>Ужин</t>
        </is>
      </c>
      <c r="C89" s="25" t="inlineStr">
        <is>
          <t>Гречка с яйцами и овощами</t>
        </is>
      </c>
      <c r="D89" s="25" t="inlineStr">
        <is>
          <t>Помидоры</t>
        </is>
      </c>
      <c r="E89" s="25" t="n">
        <v>100</v>
      </c>
      <c r="F89" s="33">
        <f>MIN(1.7,MAX(0.65,'Расчёт'!$B$17/2013.1))</f>
        <v/>
      </c>
      <c r="G89" s="25">
        <f>ROUND(E89*F89/5,0)*5</f>
        <v/>
      </c>
      <c r="H89" s="25">
        <f>ROUND(E89*F89*'Расчёт'!$B$10/5,0)*5</f>
        <v/>
      </c>
      <c r="I89" s="34">
        <f>G89*VLOOKUP($D89,'Продукты'!$A$4:$G$34,2,FALSE)/100</f>
        <v/>
      </c>
      <c r="J89" s="34">
        <f>G89*VLOOKUP($D89,'Продукты'!$A$4:$G$34,3,FALSE)/100</f>
        <v/>
      </c>
      <c r="K89" s="34">
        <f>G89*VLOOKUP($D89,'Продукты'!$A$4:$G$34,4,FALSE)/100</f>
        <v/>
      </c>
      <c r="L89" s="34">
        <f>G89*VLOOKUP($D89,'Продукты'!$A$4:$G$34,5,FALSE)/100</f>
        <v/>
      </c>
    </row>
    <row r="90">
      <c r="A90" s="25" t="inlineStr">
        <is>
          <t>Чт</t>
        </is>
      </c>
      <c r="B90" s="25" t="inlineStr">
        <is>
          <t>Ужин</t>
        </is>
      </c>
      <c r="C90" s="25" t="inlineStr">
        <is>
          <t>Гречка с яйцами и овощами</t>
        </is>
      </c>
      <c r="D90" s="25" t="inlineStr">
        <is>
          <t>Огурцы</t>
        </is>
      </c>
      <c r="E90" s="25" t="n">
        <v>100</v>
      </c>
      <c r="F90" s="33">
        <f>MIN(1.7,MAX(0.65,'Расчёт'!$B$17/2013.1))</f>
        <v/>
      </c>
      <c r="G90" s="25">
        <f>ROUND(E90*F90/5,0)*5</f>
        <v/>
      </c>
      <c r="H90" s="25">
        <f>ROUND(E90*F90*'Расчёт'!$B$10/5,0)*5</f>
        <v/>
      </c>
      <c r="I90" s="34">
        <f>G90*VLOOKUP($D90,'Продукты'!$A$4:$G$34,2,FALSE)/100</f>
        <v/>
      </c>
      <c r="J90" s="34">
        <f>G90*VLOOKUP($D90,'Продукты'!$A$4:$G$34,3,FALSE)/100</f>
        <v/>
      </c>
      <c r="K90" s="34">
        <f>G90*VLOOKUP($D90,'Продукты'!$A$4:$G$34,4,FALSE)/100</f>
        <v/>
      </c>
      <c r="L90" s="34">
        <f>G90*VLOOKUP($D90,'Продукты'!$A$4:$G$34,5,FALSE)/100</f>
        <v/>
      </c>
    </row>
    <row r="91">
      <c r="A91" s="25" t="inlineStr">
        <is>
          <t>Чт</t>
        </is>
      </c>
      <c r="B91" s="25" t="inlineStr">
        <is>
          <t>Ужин</t>
        </is>
      </c>
      <c r="C91" s="25" t="inlineStr">
        <is>
          <t>Гречка с яйцами и овощами</t>
        </is>
      </c>
      <c r="D91" s="25" t="inlineStr">
        <is>
          <t>Масло растительное</t>
        </is>
      </c>
      <c r="E91" s="25" t="n">
        <v>5</v>
      </c>
      <c r="F91" s="33">
        <f>MIN(1.7,MAX(0.65,'Расчёт'!$B$17/2013.1))</f>
        <v/>
      </c>
      <c r="G91" s="25">
        <f>ROUND(E91*F91/5,0)*5</f>
        <v/>
      </c>
      <c r="H91" s="25">
        <f>ROUND(E91*F91*'Расчёт'!$B$10/5,0)*5</f>
        <v/>
      </c>
      <c r="I91" s="34">
        <f>G91*VLOOKUP($D91,'Продукты'!$A$4:$G$34,2,FALSE)/100</f>
        <v/>
      </c>
      <c r="J91" s="34">
        <f>G91*VLOOKUP($D91,'Продукты'!$A$4:$G$34,3,FALSE)/100</f>
        <v/>
      </c>
      <c r="K91" s="34">
        <f>G91*VLOOKUP($D91,'Продукты'!$A$4:$G$34,4,FALSE)/100</f>
        <v/>
      </c>
      <c r="L91" s="34">
        <f>G91*VLOOKUP($D91,'Продукты'!$A$4:$G$34,5,FALSE)/100</f>
        <v/>
      </c>
    </row>
    <row r="92">
      <c r="A92" s="25" t="inlineStr">
        <is>
          <t>Чт</t>
        </is>
      </c>
      <c r="B92" s="25" t="inlineStr">
        <is>
          <t>Ужин</t>
        </is>
      </c>
      <c r="C92" s="25" t="inlineStr">
        <is>
          <t>Гречка с яйцами и овощами</t>
        </is>
      </c>
      <c r="D92" s="25" t="inlineStr">
        <is>
          <t>Творог 5%</t>
        </is>
      </c>
      <c r="E92" s="25" t="n">
        <v>100</v>
      </c>
      <c r="F92" s="33">
        <f>MIN(1.7,MAX(0.65,'Расчёт'!$B$17/2013.1))</f>
        <v/>
      </c>
      <c r="G92" s="25">
        <f>ROUND(E92*F92/5,0)*5</f>
        <v/>
      </c>
      <c r="H92" s="25">
        <f>ROUND(E92*F92*'Расчёт'!$B$10/5,0)*5</f>
        <v/>
      </c>
      <c r="I92" s="34">
        <f>G92*VLOOKUP($D92,'Продукты'!$A$4:$G$34,2,FALSE)/100</f>
        <v/>
      </c>
      <c r="J92" s="34">
        <f>G92*VLOOKUP($D92,'Продукты'!$A$4:$G$34,3,FALSE)/100</f>
        <v/>
      </c>
      <c r="K92" s="34">
        <f>G92*VLOOKUP($D92,'Продукты'!$A$4:$G$34,4,FALSE)/100</f>
        <v/>
      </c>
      <c r="L92" s="34">
        <f>G92*VLOOKUP($D92,'Продукты'!$A$4:$G$34,5,FALSE)/100</f>
        <v/>
      </c>
    </row>
    <row r="93">
      <c r="A93" s="22" t="inlineStr">
        <is>
          <t>Пт</t>
        </is>
      </c>
      <c r="B93" s="22" t="inlineStr">
        <is>
          <t>Завтрак</t>
        </is>
      </c>
      <c r="C93" s="22" t="inlineStr">
        <is>
          <t>Пшённая каша на молоке с яблоком</t>
        </is>
      </c>
      <c r="D93" s="22" t="inlineStr">
        <is>
          <t>Пшено (сухое)</t>
        </is>
      </c>
      <c r="E93" s="22" t="n">
        <v>60</v>
      </c>
      <c r="F93" s="31">
        <f>MIN(1.7,MAX(0.65,'Расчёт'!$B$17/1968.5))</f>
        <v/>
      </c>
      <c r="G93" s="22">
        <f>ROUND(E93*F93/5,0)*5</f>
        <v/>
      </c>
      <c r="H93" s="22">
        <f>ROUND(E93*F93*'Расчёт'!$B$10/5,0)*5</f>
        <v/>
      </c>
      <c r="I93" s="32">
        <f>G93*VLOOKUP($D93,'Продукты'!$A$4:$G$34,2,FALSE)/100</f>
        <v/>
      </c>
      <c r="J93" s="32">
        <f>G93*VLOOKUP($D93,'Продукты'!$A$4:$G$34,3,FALSE)/100</f>
        <v/>
      </c>
      <c r="K93" s="32">
        <f>G93*VLOOKUP($D93,'Продукты'!$A$4:$G$34,4,FALSE)/100</f>
        <v/>
      </c>
      <c r="L93" s="32">
        <f>G93*VLOOKUP($D93,'Продукты'!$A$4:$G$34,5,FALSE)/100</f>
        <v/>
      </c>
    </row>
    <row r="94">
      <c r="A94" s="22" t="inlineStr">
        <is>
          <t>Пт</t>
        </is>
      </c>
      <c r="B94" s="22" t="inlineStr">
        <is>
          <t>Завтрак</t>
        </is>
      </c>
      <c r="C94" s="22" t="inlineStr">
        <is>
          <t>Пшённая каша на молоке с яблоком</t>
        </is>
      </c>
      <c r="D94" s="22" t="inlineStr">
        <is>
          <t>Молоко 2.5%</t>
        </is>
      </c>
      <c r="E94" s="22" t="n">
        <v>250</v>
      </c>
      <c r="F94" s="31">
        <f>MIN(1.7,MAX(0.65,'Расчёт'!$B$17/1968.5))</f>
        <v/>
      </c>
      <c r="G94" s="22">
        <f>ROUND(E94*F94/5,0)*5</f>
        <v/>
      </c>
      <c r="H94" s="22">
        <f>ROUND(E94*F94*'Расчёт'!$B$10/5,0)*5</f>
        <v/>
      </c>
      <c r="I94" s="32">
        <f>G94*VLOOKUP($D94,'Продукты'!$A$4:$G$34,2,FALSE)/100</f>
        <v/>
      </c>
      <c r="J94" s="32">
        <f>G94*VLOOKUP($D94,'Продукты'!$A$4:$G$34,3,FALSE)/100</f>
        <v/>
      </c>
      <c r="K94" s="32">
        <f>G94*VLOOKUP($D94,'Продукты'!$A$4:$G$34,4,FALSE)/100</f>
        <v/>
      </c>
      <c r="L94" s="32">
        <f>G94*VLOOKUP($D94,'Продукты'!$A$4:$G$34,5,FALSE)/100</f>
        <v/>
      </c>
    </row>
    <row r="95">
      <c r="A95" s="22" t="inlineStr">
        <is>
          <t>Пт</t>
        </is>
      </c>
      <c r="B95" s="22" t="inlineStr">
        <is>
          <t>Завтрак</t>
        </is>
      </c>
      <c r="C95" s="22" t="inlineStr">
        <is>
          <t>Пшённая каша на молоке с яблоком</t>
        </is>
      </c>
      <c r="D95" s="22" t="inlineStr">
        <is>
          <t>Яблоки</t>
        </is>
      </c>
      <c r="E95" s="22" t="n">
        <v>120</v>
      </c>
      <c r="F95" s="31">
        <f>MIN(1.7,MAX(0.65,'Расчёт'!$B$17/1968.5))</f>
        <v/>
      </c>
      <c r="G95" s="22">
        <f>ROUND(E95*F95/5,0)*5</f>
        <v/>
      </c>
      <c r="H95" s="22">
        <f>ROUND(E95*F95*'Расчёт'!$B$10/5,0)*5</f>
        <v/>
      </c>
      <c r="I95" s="32">
        <f>G95*VLOOKUP($D95,'Продукты'!$A$4:$G$34,2,FALSE)/100</f>
        <v/>
      </c>
      <c r="J95" s="32">
        <f>G95*VLOOKUP($D95,'Продукты'!$A$4:$G$34,3,FALSE)/100</f>
        <v/>
      </c>
      <c r="K95" s="32">
        <f>G95*VLOOKUP($D95,'Продукты'!$A$4:$G$34,4,FALSE)/100</f>
        <v/>
      </c>
      <c r="L95" s="32">
        <f>G95*VLOOKUP($D95,'Продукты'!$A$4:$G$34,5,FALSE)/100</f>
        <v/>
      </c>
    </row>
    <row r="96">
      <c r="A96" s="22" t="inlineStr">
        <is>
          <t>Пт</t>
        </is>
      </c>
      <c r="B96" s="22" t="inlineStr">
        <is>
          <t>Завтрак</t>
        </is>
      </c>
      <c r="C96" s="22" t="inlineStr">
        <is>
          <t>Пшённая каша на молоке с яблоком</t>
        </is>
      </c>
      <c r="D96" s="22" t="inlineStr">
        <is>
          <t>Творог 5%</t>
        </is>
      </c>
      <c r="E96" s="22" t="n">
        <v>80</v>
      </c>
      <c r="F96" s="31">
        <f>MIN(1.7,MAX(0.65,'Расчёт'!$B$17/1968.5))</f>
        <v/>
      </c>
      <c r="G96" s="22">
        <f>ROUND(E96*F96/5,0)*5</f>
        <v/>
      </c>
      <c r="H96" s="22">
        <f>ROUND(E96*F96*'Расчёт'!$B$10/5,0)*5</f>
        <v/>
      </c>
      <c r="I96" s="32">
        <f>G96*VLOOKUP($D96,'Продукты'!$A$4:$G$34,2,FALSE)/100</f>
        <v/>
      </c>
      <c r="J96" s="32">
        <f>G96*VLOOKUP($D96,'Продукты'!$A$4:$G$34,3,FALSE)/100</f>
        <v/>
      </c>
      <c r="K96" s="32">
        <f>G96*VLOOKUP($D96,'Продукты'!$A$4:$G$34,4,FALSE)/100</f>
        <v/>
      </c>
      <c r="L96" s="32">
        <f>G96*VLOOKUP($D96,'Продукты'!$A$4:$G$34,5,FALSE)/100</f>
        <v/>
      </c>
    </row>
    <row r="97">
      <c r="A97" s="22" t="inlineStr">
        <is>
          <t>Пт</t>
        </is>
      </c>
      <c r="B97" s="22" t="inlineStr">
        <is>
          <t>Завтрак</t>
        </is>
      </c>
      <c r="C97" s="22" t="inlineStr">
        <is>
          <t>Добавка</t>
        </is>
      </c>
      <c r="D97" s="22" t="inlineStr">
        <is>
          <t>Яйцо</t>
        </is>
      </c>
      <c r="E97" s="22" t="n">
        <v>110</v>
      </c>
      <c r="F97" s="31">
        <f>MIN(1.7,MAX(0.65,'Расчёт'!$B$17/1968.5))</f>
        <v/>
      </c>
      <c r="G97" s="22">
        <f>ROUND(E97*F97/5,0)*5</f>
        <v/>
      </c>
      <c r="H97" s="22">
        <f>ROUND(E97*F97*'Расчёт'!$B$10/5,0)*5</f>
        <v/>
      </c>
      <c r="I97" s="32">
        <f>G97*VLOOKUP($D97,'Продукты'!$A$4:$G$34,2,FALSE)/100</f>
        <v/>
      </c>
      <c r="J97" s="32">
        <f>G97*VLOOKUP($D97,'Продукты'!$A$4:$G$34,3,FALSE)/100</f>
        <v/>
      </c>
      <c r="K97" s="32">
        <f>G97*VLOOKUP($D97,'Продукты'!$A$4:$G$34,4,FALSE)/100</f>
        <v/>
      </c>
      <c r="L97" s="32">
        <f>G97*VLOOKUP($D97,'Продукты'!$A$4:$G$34,5,FALSE)/100</f>
        <v/>
      </c>
    </row>
    <row r="98">
      <c r="A98" s="22" t="inlineStr">
        <is>
          <t>Пт</t>
        </is>
      </c>
      <c r="B98" s="22" t="inlineStr">
        <is>
          <t>Обед</t>
        </is>
      </c>
      <c r="C98" s="22" t="inlineStr">
        <is>
          <t>Красная рыба с картофелем (раз в неделю)</t>
        </is>
      </c>
      <c r="D98" s="22" t="inlineStr">
        <is>
          <t>Красная рыба (горбуша, форель)</t>
        </is>
      </c>
      <c r="E98" s="22" t="n">
        <v>150</v>
      </c>
      <c r="F98" s="31">
        <f>MIN(1.7,MAX(0.65,'Расчёт'!$B$17/1968.5))</f>
        <v/>
      </c>
      <c r="G98" s="22">
        <f>ROUND(E98*F98/5,0)*5</f>
        <v/>
      </c>
      <c r="H98" s="22">
        <f>ROUND(E98*F98*'Расчёт'!$B$10/5,0)*5</f>
        <v/>
      </c>
      <c r="I98" s="32">
        <f>G98*VLOOKUP($D98,'Продукты'!$A$4:$G$34,2,FALSE)/100</f>
        <v/>
      </c>
      <c r="J98" s="32">
        <f>G98*VLOOKUP($D98,'Продукты'!$A$4:$G$34,3,FALSE)/100</f>
        <v/>
      </c>
      <c r="K98" s="32">
        <f>G98*VLOOKUP($D98,'Продукты'!$A$4:$G$34,4,FALSE)/100</f>
        <v/>
      </c>
      <c r="L98" s="32">
        <f>G98*VLOOKUP($D98,'Продукты'!$A$4:$G$34,5,FALSE)/100</f>
        <v/>
      </c>
    </row>
    <row r="99">
      <c r="A99" s="22" t="inlineStr">
        <is>
          <t>Пт</t>
        </is>
      </c>
      <c r="B99" s="22" t="inlineStr">
        <is>
          <t>Обед</t>
        </is>
      </c>
      <c r="C99" s="22" t="inlineStr">
        <is>
          <t>Красная рыба с картофелем (раз в неделю)</t>
        </is>
      </c>
      <c r="D99" s="22" t="inlineStr">
        <is>
          <t>Картофель</t>
        </is>
      </c>
      <c r="E99" s="22" t="n">
        <v>250</v>
      </c>
      <c r="F99" s="31">
        <f>MIN(1.7,MAX(0.65,'Расчёт'!$B$17/1968.5))</f>
        <v/>
      </c>
      <c r="G99" s="22">
        <f>ROUND(E99*F99/5,0)*5</f>
        <v/>
      </c>
      <c r="H99" s="22">
        <f>ROUND(E99*F99*'Расчёт'!$B$10/5,0)*5</f>
        <v/>
      </c>
      <c r="I99" s="32">
        <f>G99*VLOOKUP($D99,'Продукты'!$A$4:$G$34,2,FALSE)/100</f>
        <v/>
      </c>
      <c r="J99" s="32">
        <f>G99*VLOOKUP($D99,'Продукты'!$A$4:$G$34,3,FALSE)/100</f>
        <v/>
      </c>
      <c r="K99" s="32">
        <f>G99*VLOOKUP($D99,'Продукты'!$A$4:$G$34,4,FALSE)/100</f>
        <v/>
      </c>
      <c r="L99" s="32">
        <f>G99*VLOOKUP($D99,'Продукты'!$A$4:$G$34,5,FALSE)/100</f>
        <v/>
      </c>
    </row>
    <row r="100">
      <c r="A100" s="22" t="inlineStr">
        <is>
          <t>Пт</t>
        </is>
      </c>
      <c r="B100" s="22" t="inlineStr">
        <is>
          <t>Обед</t>
        </is>
      </c>
      <c r="C100" s="22" t="inlineStr">
        <is>
          <t>Красная рыба с картофелем (раз в неделю)</t>
        </is>
      </c>
      <c r="D100" s="22" t="inlineStr">
        <is>
          <t>Масло растительное</t>
        </is>
      </c>
      <c r="E100" s="22" t="n">
        <v>3</v>
      </c>
      <c r="F100" s="31">
        <f>MIN(1.7,MAX(0.65,'Расчёт'!$B$17/1968.5))</f>
        <v/>
      </c>
      <c r="G100" s="22">
        <f>ROUND(E100*F100/5,0)*5</f>
        <v/>
      </c>
      <c r="H100" s="22">
        <f>ROUND(E100*F100*'Расчёт'!$B$10/5,0)*5</f>
        <v/>
      </c>
      <c r="I100" s="32">
        <f>G100*VLOOKUP($D100,'Продукты'!$A$4:$G$34,2,FALSE)/100</f>
        <v/>
      </c>
      <c r="J100" s="32">
        <f>G100*VLOOKUP($D100,'Продукты'!$A$4:$G$34,3,FALSE)/100</f>
        <v/>
      </c>
      <c r="K100" s="32">
        <f>G100*VLOOKUP($D100,'Продукты'!$A$4:$G$34,4,FALSE)/100</f>
        <v/>
      </c>
      <c r="L100" s="32">
        <f>G100*VLOOKUP($D100,'Продукты'!$A$4:$G$34,5,FALSE)/100</f>
        <v/>
      </c>
    </row>
    <row r="101">
      <c r="A101" s="22" t="inlineStr">
        <is>
          <t>Пт</t>
        </is>
      </c>
      <c r="B101" s="22" t="inlineStr">
        <is>
          <t>Обед</t>
        </is>
      </c>
      <c r="C101" s="22" t="inlineStr">
        <is>
          <t>Красная рыба с картофелем (раз в неделю)</t>
        </is>
      </c>
      <c r="D101" s="22" t="inlineStr">
        <is>
          <t>Огурцы</t>
        </is>
      </c>
      <c r="E101" s="22" t="n">
        <v>100</v>
      </c>
      <c r="F101" s="31">
        <f>MIN(1.7,MAX(0.65,'Расчёт'!$B$17/1968.5))</f>
        <v/>
      </c>
      <c r="G101" s="22">
        <f>ROUND(E101*F101/5,0)*5</f>
        <v/>
      </c>
      <c r="H101" s="22">
        <f>ROUND(E101*F101*'Расчёт'!$B$10/5,0)*5</f>
        <v/>
      </c>
      <c r="I101" s="32">
        <f>G101*VLOOKUP($D101,'Продукты'!$A$4:$G$34,2,FALSE)/100</f>
        <v/>
      </c>
      <c r="J101" s="32">
        <f>G101*VLOOKUP($D101,'Продукты'!$A$4:$G$34,3,FALSE)/100</f>
        <v/>
      </c>
      <c r="K101" s="32">
        <f>G101*VLOOKUP($D101,'Продукты'!$A$4:$G$34,4,FALSE)/100</f>
        <v/>
      </c>
      <c r="L101" s="32">
        <f>G101*VLOOKUP($D101,'Продукты'!$A$4:$G$34,5,FALSE)/100</f>
        <v/>
      </c>
    </row>
    <row r="102">
      <c r="A102" s="22" t="inlineStr">
        <is>
          <t>Пт</t>
        </is>
      </c>
      <c r="B102" s="22" t="inlineStr">
        <is>
          <t>Обед</t>
        </is>
      </c>
      <c r="C102" s="22" t="inlineStr">
        <is>
          <t>Красная рыба с картофелем (раз в неделю)</t>
        </is>
      </c>
      <c r="D102" s="22" t="inlineStr">
        <is>
          <t>Помидоры</t>
        </is>
      </c>
      <c r="E102" s="22" t="n">
        <v>80</v>
      </c>
      <c r="F102" s="31">
        <f>MIN(1.7,MAX(0.65,'Расчёт'!$B$17/1968.5))</f>
        <v/>
      </c>
      <c r="G102" s="22">
        <f>ROUND(E102*F102/5,0)*5</f>
        <v/>
      </c>
      <c r="H102" s="22">
        <f>ROUND(E102*F102*'Расчёт'!$B$10/5,0)*5</f>
        <v/>
      </c>
      <c r="I102" s="32">
        <f>G102*VLOOKUP($D102,'Продукты'!$A$4:$G$34,2,FALSE)/100</f>
        <v/>
      </c>
      <c r="J102" s="32">
        <f>G102*VLOOKUP($D102,'Продукты'!$A$4:$G$34,3,FALSE)/100</f>
        <v/>
      </c>
      <c r="K102" s="32">
        <f>G102*VLOOKUP($D102,'Продукты'!$A$4:$G$34,4,FALSE)/100</f>
        <v/>
      </c>
      <c r="L102" s="32">
        <f>G102*VLOOKUP($D102,'Продукты'!$A$4:$G$34,5,FALSE)/100</f>
        <v/>
      </c>
    </row>
    <row r="103">
      <c r="A103" s="22" t="inlineStr">
        <is>
          <t>Пт</t>
        </is>
      </c>
      <c r="B103" s="22" t="inlineStr">
        <is>
          <t>Перекус</t>
        </is>
      </c>
      <c r="C103" s="22" t="inlineStr">
        <is>
          <t>Кефир с бананом</t>
        </is>
      </c>
      <c r="D103" s="22" t="inlineStr">
        <is>
          <t>Кефир 1%</t>
        </is>
      </c>
      <c r="E103" s="22" t="n">
        <v>300</v>
      </c>
      <c r="F103" s="31">
        <f>MIN(1.7,MAX(0.65,'Расчёт'!$B$17/1968.5))</f>
        <v/>
      </c>
      <c r="G103" s="22">
        <f>ROUND(E103*F103/5,0)*5</f>
        <v/>
      </c>
      <c r="H103" s="22">
        <f>ROUND(E103*F103*'Расчёт'!$B$10/5,0)*5</f>
        <v/>
      </c>
      <c r="I103" s="32">
        <f>G103*VLOOKUP($D103,'Продукты'!$A$4:$G$34,2,FALSE)/100</f>
        <v/>
      </c>
      <c r="J103" s="32">
        <f>G103*VLOOKUP($D103,'Продукты'!$A$4:$G$34,3,FALSE)/100</f>
        <v/>
      </c>
      <c r="K103" s="32">
        <f>G103*VLOOKUP($D103,'Продукты'!$A$4:$G$34,4,FALSE)/100</f>
        <v/>
      </c>
      <c r="L103" s="32">
        <f>G103*VLOOKUP($D103,'Продукты'!$A$4:$G$34,5,FALSE)/100</f>
        <v/>
      </c>
    </row>
    <row r="104">
      <c r="A104" s="22" t="inlineStr">
        <is>
          <t>Пт</t>
        </is>
      </c>
      <c r="B104" s="22" t="inlineStr">
        <is>
          <t>Перекус</t>
        </is>
      </c>
      <c r="C104" s="22" t="inlineStr">
        <is>
          <t>Кефир с бананом</t>
        </is>
      </c>
      <c r="D104" s="22" t="inlineStr">
        <is>
          <t>Бананы (очищенные)</t>
        </is>
      </c>
      <c r="E104" s="22" t="n">
        <v>110</v>
      </c>
      <c r="F104" s="31">
        <f>MIN(1.7,MAX(0.65,'Расчёт'!$B$17/1968.5))</f>
        <v/>
      </c>
      <c r="G104" s="22">
        <f>ROUND(E104*F104/5,0)*5</f>
        <v/>
      </c>
      <c r="H104" s="22">
        <f>ROUND(E104*F104*'Расчёт'!$B$10/5,0)*5</f>
        <v/>
      </c>
      <c r="I104" s="32">
        <f>G104*VLOOKUP($D104,'Продукты'!$A$4:$G$34,2,FALSE)/100</f>
        <v/>
      </c>
      <c r="J104" s="32">
        <f>G104*VLOOKUP($D104,'Продукты'!$A$4:$G$34,3,FALSE)/100</f>
        <v/>
      </c>
      <c r="K104" s="32">
        <f>G104*VLOOKUP($D104,'Продукты'!$A$4:$G$34,4,FALSE)/100</f>
        <v/>
      </c>
      <c r="L104" s="32">
        <f>G104*VLOOKUP($D104,'Продукты'!$A$4:$G$34,5,FALSE)/100</f>
        <v/>
      </c>
    </row>
    <row r="105">
      <c r="A105" s="22" t="inlineStr">
        <is>
          <t>Пт</t>
        </is>
      </c>
      <c r="B105" s="22" t="inlineStr">
        <is>
          <t>Перекус</t>
        </is>
      </c>
      <c r="C105" s="22" t="inlineStr">
        <is>
          <t>Кефир с бананом</t>
        </is>
      </c>
      <c r="D105" s="22" t="inlineStr">
        <is>
          <t>Хлеб цельнозерновой/ржаной</t>
        </is>
      </c>
      <c r="E105" s="22" t="n">
        <v>30</v>
      </c>
      <c r="F105" s="31">
        <f>MIN(1.7,MAX(0.65,'Расчёт'!$B$17/1968.5))</f>
        <v/>
      </c>
      <c r="G105" s="22">
        <f>ROUND(E105*F105/5,0)*5</f>
        <v/>
      </c>
      <c r="H105" s="22">
        <f>ROUND(E105*F105*'Расчёт'!$B$10/5,0)*5</f>
        <v/>
      </c>
      <c r="I105" s="32">
        <f>G105*VLOOKUP($D105,'Продукты'!$A$4:$G$34,2,FALSE)/100</f>
        <v/>
      </c>
      <c r="J105" s="32">
        <f>G105*VLOOKUP($D105,'Продукты'!$A$4:$G$34,3,FALSE)/100</f>
        <v/>
      </c>
      <c r="K105" s="32">
        <f>G105*VLOOKUP($D105,'Продукты'!$A$4:$G$34,4,FALSE)/100</f>
        <v/>
      </c>
      <c r="L105" s="32">
        <f>G105*VLOOKUP($D105,'Продукты'!$A$4:$G$34,5,FALSE)/100</f>
        <v/>
      </c>
    </row>
    <row r="106">
      <c r="A106" s="22" t="inlineStr">
        <is>
          <t>Пт</t>
        </is>
      </c>
      <c r="B106" s="22" t="inlineStr">
        <is>
          <t>Ужин</t>
        </is>
      </c>
      <c r="C106" s="22" t="inlineStr">
        <is>
          <t>Перловка с курицей и овощами</t>
        </is>
      </c>
      <c r="D106" s="22" t="inlineStr">
        <is>
          <t>Перловка (сухая)</t>
        </is>
      </c>
      <c r="E106" s="22" t="n">
        <v>70</v>
      </c>
      <c r="F106" s="31">
        <f>MIN(1.7,MAX(0.65,'Расчёт'!$B$17/1968.5))</f>
        <v/>
      </c>
      <c r="G106" s="22">
        <f>ROUND(E106*F106/5,0)*5</f>
        <v/>
      </c>
      <c r="H106" s="22">
        <f>ROUND(E106*F106*'Расчёт'!$B$10/5,0)*5</f>
        <v/>
      </c>
      <c r="I106" s="32">
        <f>G106*VLOOKUP($D106,'Продукты'!$A$4:$G$34,2,FALSE)/100</f>
        <v/>
      </c>
      <c r="J106" s="32">
        <f>G106*VLOOKUP($D106,'Продукты'!$A$4:$G$34,3,FALSE)/100</f>
        <v/>
      </c>
      <c r="K106" s="32">
        <f>G106*VLOOKUP($D106,'Продукты'!$A$4:$G$34,4,FALSE)/100</f>
        <v/>
      </c>
      <c r="L106" s="32">
        <f>G106*VLOOKUP($D106,'Продукты'!$A$4:$G$34,5,FALSE)/100</f>
        <v/>
      </c>
    </row>
    <row r="107">
      <c r="A107" s="22" t="inlineStr">
        <is>
          <t>Пт</t>
        </is>
      </c>
      <c r="B107" s="22" t="inlineStr">
        <is>
          <t>Ужин</t>
        </is>
      </c>
      <c r="C107" s="22" t="inlineStr">
        <is>
          <t>Перловка с курицей и овощами</t>
        </is>
      </c>
      <c r="D107" s="22" t="inlineStr">
        <is>
          <t>Куриные бёдра/голень без кожи</t>
        </is>
      </c>
      <c r="E107" s="22" t="n">
        <v>170</v>
      </c>
      <c r="F107" s="31">
        <f>MIN(1.7,MAX(0.65,'Расчёт'!$B$17/1968.5))</f>
        <v/>
      </c>
      <c r="G107" s="22">
        <f>ROUND(E107*F107/5,0)*5</f>
        <v/>
      </c>
      <c r="H107" s="22">
        <f>ROUND(E107*F107*'Расчёт'!$B$10/5,0)*5</f>
        <v/>
      </c>
      <c r="I107" s="32">
        <f>G107*VLOOKUP($D107,'Продукты'!$A$4:$G$34,2,FALSE)/100</f>
        <v/>
      </c>
      <c r="J107" s="32">
        <f>G107*VLOOKUP($D107,'Продукты'!$A$4:$G$34,3,FALSE)/100</f>
        <v/>
      </c>
      <c r="K107" s="32">
        <f>G107*VLOOKUP($D107,'Продукты'!$A$4:$G$34,4,FALSE)/100</f>
        <v/>
      </c>
      <c r="L107" s="32">
        <f>G107*VLOOKUP($D107,'Продукты'!$A$4:$G$34,5,FALSE)/100</f>
        <v/>
      </c>
    </row>
    <row r="108">
      <c r="A108" s="22" t="inlineStr">
        <is>
          <t>Пт</t>
        </is>
      </c>
      <c r="B108" s="22" t="inlineStr">
        <is>
          <t>Ужин</t>
        </is>
      </c>
      <c r="C108" s="22" t="inlineStr">
        <is>
          <t>Перловка с курицей и овощами</t>
        </is>
      </c>
      <c r="D108" s="22" t="inlineStr">
        <is>
          <t>Морковь</t>
        </is>
      </c>
      <c r="E108" s="22" t="n">
        <v>50</v>
      </c>
      <c r="F108" s="31">
        <f>MIN(1.7,MAX(0.65,'Расчёт'!$B$17/1968.5))</f>
        <v/>
      </c>
      <c r="G108" s="22">
        <f>ROUND(E108*F108/5,0)*5</f>
        <v/>
      </c>
      <c r="H108" s="22">
        <f>ROUND(E108*F108*'Расчёт'!$B$10/5,0)*5</f>
        <v/>
      </c>
      <c r="I108" s="32">
        <f>G108*VLOOKUP($D108,'Продукты'!$A$4:$G$34,2,FALSE)/100</f>
        <v/>
      </c>
      <c r="J108" s="32">
        <f>G108*VLOOKUP($D108,'Продукты'!$A$4:$G$34,3,FALSE)/100</f>
        <v/>
      </c>
      <c r="K108" s="32">
        <f>G108*VLOOKUP($D108,'Продукты'!$A$4:$G$34,4,FALSE)/100</f>
        <v/>
      </c>
      <c r="L108" s="32">
        <f>G108*VLOOKUP($D108,'Продукты'!$A$4:$G$34,5,FALSE)/100</f>
        <v/>
      </c>
    </row>
    <row r="109">
      <c r="A109" s="22" t="inlineStr">
        <is>
          <t>Пт</t>
        </is>
      </c>
      <c r="B109" s="22" t="inlineStr">
        <is>
          <t>Ужин</t>
        </is>
      </c>
      <c r="C109" s="22" t="inlineStr">
        <is>
          <t>Перловка с курицей и овощами</t>
        </is>
      </c>
      <c r="D109" s="22" t="inlineStr">
        <is>
          <t>Лук репчатый</t>
        </is>
      </c>
      <c r="E109" s="22" t="n">
        <v>40</v>
      </c>
      <c r="F109" s="31">
        <f>MIN(1.7,MAX(0.65,'Расчёт'!$B$17/1968.5))</f>
        <v/>
      </c>
      <c r="G109" s="22">
        <f>ROUND(E109*F109/5,0)*5</f>
        <v/>
      </c>
      <c r="H109" s="22">
        <f>ROUND(E109*F109*'Расчёт'!$B$10/5,0)*5</f>
        <v/>
      </c>
      <c r="I109" s="32">
        <f>G109*VLOOKUP($D109,'Продукты'!$A$4:$G$34,2,FALSE)/100</f>
        <v/>
      </c>
      <c r="J109" s="32">
        <f>G109*VLOOKUP($D109,'Продукты'!$A$4:$G$34,3,FALSE)/100</f>
        <v/>
      </c>
      <c r="K109" s="32">
        <f>G109*VLOOKUP($D109,'Продукты'!$A$4:$G$34,4,FALSE)/100</f>
        <v/>
      </c>
      <c r="L109" s="32">
        <f>G109*VLOOKUP($D109,'Продукты'!$A$4:$G$34,5,FALSE)/100</f>
        <v/>
      </c>
    </row>
    <row r="110">
      <c r="A110" s="22" t="inlineStr">
        <is>
          <t>Пт</t>
        </is>
      </c>
      <c r="B110" s="22" t="inlineStr">
        <is>
          <t>Ужин</t>
        </is>
      </c>
      <c r="C110" s="22" t="inlineStr">
        <is>
          <t>Перловка с курицей и овощами</t>
        </is>
      </c>
      <c r="D110" s="22" t="inlineStr">
        <is>
          <t>Помидоры</t>
        </is>
      </c>
      <c r="E110" s="22" t="n">
        <v>80</v>
      </c>
      <c r="F110" s="31">
        <f>MIN(1.7,MAX(0.65,'Расчёт'!$B$17/1968.5))</f>
        <v/>
      </c>
      <c r="G110" s="22">
        <f>ROUND(E110*F110/5,0)*5</f>
        <v/>
      </c>
      <c r="H110" s="22">
        <f>ROUND(E110*F110*'Расчёт'!$B$10/5,0)*5</f>
        <v/>
      </c>
      <c r="I110" s="32">
        <f>G110*VLOOKUP($D110,'Продукты'!$A$4:$G$34,2,FALSE)/100</f>
        <v/>
      </c>
      <c r="J110" s="32">
        <f>G110*VLOOKUP($D110,'Продукты'!$A$4:$G$34,3,FALSE)/100</f>
        <v/>
      </c>
      <c r="K110" s="32">
        <f>G110*VLOOKUP($D110,'Продукты'!$A$4:$G$34,4,FALSE)/100</f>
        <v/>
      </c>
      <c r="L110" s="32">
        <f>G110*VLOOKUP($D110,'Продукты'!$A$4:$G$34,5,FALSE)/100</f>
        <v/>
      </c>
    </row>
    <row r="111">
      <c r="A111" s="22" t="inlineStr">
        <is>
          <t>Пт</t>
        </is>
      </c>
      <c r="B111" s="22" t="inlineStr">
        <is>
          <t>Ужин</t>
        </is>
      </c>
      <c r="C111" s="22" t="inlineStr">
        <is>
          <t>Перловка с курицей и овощами</t>
        </is>
      </c>
      <c r="D111" s="22" t="inlineStr">
        <is>
          <t>Масло растительное</t>
        </is>
      </c>
      <c r="E111" s="22" t="n">
        <v>5</v>
      </c>
      <c r="F111" s="31">
        <f>MIN(1.7,MAX(0.65,'Расчёт'!$B$17/1968.5))</f>
        <v/>
      </c>
      <c r="G111" s="22">
        <f>ROUND(E111*F111/5,0)*5</f>
        <v/>
      </c>
      <c r="H111" s="22">
        <f>ROUND(E111*F111*'Расчёт'!$B$10/5,0)*5</f>
        <v/>
      </c>
      <c r="I111" s="32">
        <f>G111*VLOOKUP($D111,'Продукты'!$A$4:$G$34,2,FALSE)/100</f>
        <v/>
      </c>
      <c r="J111" s="32">
        <f>G111*VLOOKUP($D111,'Продукты'!$A$4:$G$34,3,FALSE)/100</f>
        <v/>
      </c>
      <c r="K111" s="32">
        <f>G111*VLOOKUP($D111,'Продукты'!$A$4:$G$34,4,FALSE)/100</f>
        <v/>
      </c>
      <c r="L111" s="32">
        <f>G111*VLOOKUP($D111,'Продукты'!$A$4:$G$34,5,FALSE)/100</f>
        <v/>
      </c>
    </row>
    <row r="112">
      <c r="A112" s="25" t="inlineStr">
        <is>
          <t>Сб</t>
        </is>
      </c>
      <c r="B112" s="25" t="inlineStr">
        <is>
          <t>Завтрак</t>
        </is>
      </c>
      <c r="C112" s="25" t="inlineStr">
        <is>
          <t>Яйца вкрутую, хлеб, творог, овощи</t>
        </is>
      </c>
      <c r="D112" s="25" t="inlineStr">
        <is>
          <t>Яйцо</t>
        </is>
      </c>
      <c r="E112" s="25" t="n">
        <v>110</v>
      </c>
      <c r="F112" s="33">
        <f>MIN(1.7,MAX(0.65,'Расчёт'!$B$17/1850.1))</f>
        <v/>
      </c>
      <c r="G112" s="25">
        <f>ROUND(E112*F112/5,0)*5</f>
        <v/>
      </c>
      <c r="H112" s="25">
        <f>ROUND(E112*F112*'Расчёт'!$B$10/5,0)*5</f>
        <v/>
      </c>
      <c r="I112" s="34">
        <f>G112*VLOOKUP($D112,'Продукты'!$A$4:$G$34,2,FALSE)/100</f>
        <v/>
      </c>
      <c r="J112" s="34">
        <f>G112*VLOOKUP($D112,'Продукты'!$A$4:$G$34,3,FALSE)/100</f>
        <v/>
      </c>
      <c r="K112" s="34">
        <f>G112*VLOOKUP($D112,'Продукты'!$A$4:$G$34,4,FALSE)/100</f>
        <v/>
      </c>
      <c r="L112" s="34">
        <f>G112*VLOOKUP($D112,'Продукты'!$A$4:$G$34,5,FALSE)/100</f>
        <v/>
      </c>
    </row>
    <row r="113">
      <c r="A113" s="25" t="inlineStr">
        <is>
          <t>Сб</t>
        </is>
      </c>
      <c r="B113" s="25" t="inlineStr">
        <is>
          <t>Завтрак</t>
        </is>
      </c>
      <c r="C113" s="25" t="inlineStr">
        <is>
          <t>Яйца вкрутую, хлеб, творог, овощи</t>
        </is>
      </c>
      <c r="D113" s="25" t="inlineStr">
        <is>
          <t>Хлеб цельнозерновой/ржаной</t>
        </is>
      </c>
      <c r="E113" s="25" t="n">
        <v>50</v>
      </c>
      <c r="F113" s="33">
        <f>MIN(1.7,MAX(0.65,'Расчёт'!$B$17/1850.1))</f>
        <v/>
      </c>
      <c r="G113" s="25">
        <f>ROUND(E113*F113/5,0)*5</f>
        <v/>
      </c>
      <c r="H113" s="25">
        <f>ROUND(E113*F113*'Расчёт'!$B$10/5,0)*5</f>
        <v/>
      </c>
      <c r="I113" s="34">
        <f>G113*VLOOKUP($D113,'Продукты'!$A$4:$G$34,2,FALSE)/100</f>
        <v/>
      </c>
      <c r="J113" s="34">
        <f>G113*VLOOKUP($D113,'Продукты'!$A$4:$G$34,3,FALSE)/100</f>
        <v/>
      </c>
      <c r="K113" s="34">
        <f>G113*VLOOKUP($D113,'Продукты'!$A$4:$G$34,4,FALSE)/100</f>
        <v/>
      </c>
      <c r="L113" s="34">
        <f>G113*VLOOKUP($D113,'Продукты'!$A$4:$G$34,5,FALSE)/100</f>
        <v/>
      </c>
    </row>
    <row r="114">
      <c r="A114" s="25" t="inlineStr">
        <is>
          <t>Сб</t>
        </is>
      </c>
      <c r="B114" s="25" t="inlineStr">
        <is>
          <t>Завтрак</t>
        </is>
      </c>
      <c r="C114" s="25" t="inlineStr">
        <is>
          <t>Яйца вкрутую, хлеб, творог, овощи</t>
        </is>
      </c>
      <c r="D114" s="25" t="inlineStr">
        <is>
          <t>Творог 5%</t>
        </is>
      </c>
      <c r="E114" s="25" t="n">
        <v>100</v>
      </c>
      <c r="F114" s="33">
        <f>MIN(1.7,MAX(0.65,'Расчёт'!$B$17/1850.1))</f>
        <v/>
      </c>
      <c r="G114" s="25">
        <f>ROUND(E114*F114/5,0)*5</f>
        <v/>
      </c>
      <c r="H114" s="25">
        <f>ROUND(E114*F114*'Расчёт'!$B$10/5,0)*5</f>
        <v/>
      </c>
      <c r="I114" s="34">
        <f>G114*VLOOKUP($D114,'Продукты'!$A$4:$G$34,2,FALSE)/100</f>
        <v/>
      </c>
      <c r="J114" s="34">
        <f>G114*VLOOKUP($D114,'Продукты'!$A$4:$G$34,3,FALSE)/100</f>
        <v/>
      </c>
      <c r="K114" s="34">
        <f>G114*VLOOKUP($D114,'Продукты'!$A$4:$G$34,4,FALSE)/100</f>
        <v/>
      </c>
      <c r="L114" s="34">
        <f>G114*VLOOKUP($D114,'Продукты'!$A$4:$G$34,5,FALSE)/100</f>
        <v/>
      </c>
    </row>
    <row r="115">
      <c r="A115" s="25" t="inlineStr">
        <is>
          <t>Сб</t>
        </is>
      </c>
      <c r="B115" s="25" t="inlineStr">
        <is>
          <t>Завтрак</t>
        </is>
      </c>
      <c r="C115" s="25" t="inlineStr">
        <is>
          <t>Яйца вкрутую, хлеб, творог, овощи</t>
        </is>
      </c>
      <c r="D115" s="25" t="inlineStr">
        <is>
          <t>Огурцы</t>
        </is>
      </c>
      <c r="E115" s="25" t="n">
        <v>100</v>
      </c>
      <c r="F115" s="33">
        <f>MIN(1.7,MAX(0.65,'Расчёт'!$B$17/1850.1))</f>
        <v/>
      </c>
      <c r="G115" s="25">
        <f>ROUND(E115*F115/5,0)*5</f>
        <v/>
      </c>
      <c r="H115" s="25">
        <f>ROUND(E115*F115*'Расчёт'!$B$10/5,0)*5</f>
        <v/>
      </c>
      <c r="I115" s="34">
        <f>G115*VLOOKUP($D115,'Продукты'!$A$4:$G$34,2,FALSE)/100</f>
        <v/>
      </c>
      <c r="J115" s="34">
        <f>G115*VLOOKUP($D115,'Продукты'!$A$4:$G$34,3,FALSE)/100</f>
        <v/>
      </c>
      <c r="K115" s="34">
        <f>G115*VLOOKUP($D115,'Продукты'!$A$4:$G$34,4,FALSE)/100</f>
        <v/>
      </c>
      <c r="L115" s="34">
        <f>G115*VLOOKUP($D115,'Продукты'!$A$4:$G$34,5,FALSE)/100</f>
        <v/>
      </c>
    </row>
    <row r="116">
      <c r="A116" s="25" t="inlineStr">
        <is>
          <t>Сб</t>
        </is>
      </c>
      <c r="B116" s="25" t="inlineStr">
        <is>
          <t>Завтрак</t>
        </is>
      </c>
      <c r="C116" s="25" t="inlineStr">
        <is>
          <t>Яйца вкрутую, хлеб, творог, овощи</t>
        </is>
      </c>
      <c r="D116" s="25" t="inlineStr">
        <is>
          <t>Помидоры</t>
        </is>
      </c>
      <c r="E116" s="25" t="n">
        <v>100</v>
      </c>
      <c r="F116" s="33">
        <f>MIN(1.7,MAX(0.65,'Расчёт'!$B$17/1850.1))</f>
        <v/>
      </c>
      <c r="G116" s="25">
        <f>ROUND(E116*F116/5,0)*5</f>
        <v/>
      </c>
      <c r="H116" s="25">
        <f>ROUND(E116*F116*'Расчёт'!$B$10/5,0)*5</f>
        <v/>
      </c>
      <c r="I116" s="34">
        <f>G116*VLOOKUP($D116,'Продукты'!$A$4:$G$34,2,FALSE)/100</f>
        <v/>
      </c>
      <c r="J116" s="34">
        <f>G116*VLOOKUP($D116,'Продукты'!$A$4:$G$34,3,FALSE)/100</f>
        <v/>
      </c>
      <c r="K116" s="34">
        <f>G116*VLOOKUP($D116,'Продукты'!$A$4:$G$34,4,FALSE)/100</f>
        <v/>
      </c>
      <c r="L116" s="34">
        <f>G116*VLOOKUP($D116,'Продукты'!$A$4:$G$34,5,FALSE)/100</f>
        <v/>
      </c>
    </row>
    <row r="117">
      <c r="A117" s="25" t="inlineStr">
        <is>
          <t>Сб</t>
        </is>
      </c>
      <c r="B117" s="25" t="inlineStr">
        <is>
          <t>Обед</t>
        </is>
      </c>
      <c r="C117" s="25" t="inlineStr">
        <is>
          <t>Курица в кефире с картофелем</t>
        </is>
      </c>
      <c r="D117" s="25" t="inlineStr">
        <is>
          <t>Куриная грудка</t>
        </is>
      </c>
      <c r="E117" s="25" t="n">
        <v>160</v>
      </c>
      <c r="F117" s="33">
        <f>MIN(1.7,MAX(0.65,'Расчёт'!$B$17/1850.1))</f>
        <v/>
      </c>
      <c r="G117" s="25">
        <f>ROUND(E117*F117/5,0)*5</f>
        <v/>
      </c>
      <c r="H117" s="25">
        <f>ROUND(E117*F117*'Расчёт'!$B$10/5,0)*5</f>
        <v/>
      </c>
      <c r="I117" s="34">
        <f>G117*VLOOKUP($D117,'Продукты'!$A$4:$G$34,2,FALSE)/100</f>
        <v/>
      </c>
      <c r="J117" s="34">
        <f>G117*VLOOKUP($D117,'Продукты'!$A$4:$G$34,3,FALSE)/100</f>
        <v/>
      </c>
      <c r="K117" s="34">
        <f>G117*VLOOKUP($D117,'Продукты'!$A$4:$G$34,4,FALSE)/100</f>
        <v/>
      </c>
      <c r="L117" s="34">
        <f>G117*VLOOKUP($D117,'Продукты'!$A$4:$G$34,5,FALSE)/100</f>
        <v/>
      </c>
    </row>
    <row r="118">
      <c r="A118" s="25" t="inlineStr">
        <is>
          <t>Сб</t>
        </is>
      </c>
      <c r="B118" s="25" t="inlineStr">
        <is>
          <t>Обед</t>
        </is>
      </c>
      <c r="C118" s="25" t="inlineStr">
        <is>
          <t>Курица в кефире с картофелем</t>
        </is>
      </c>
      <c r="D118" s="25" t="inlineStr">
        <is>
          <t>Кефир 1%</t>
        </is>
      </c>
      <c r="E118" s="25" t="n">
        <v>100</v>
      </c>
      <c r="F118" s="33">
        <f>MIN(1.7,MAX(0.65,'Расчёт'!$B$17/1850.1))</f>
        <v/>
      </c>
      <c r="G118" s="25">
        <f>ROUND(E118*F118/5,0)*5</f>
        <v/>
      </c>
      <c r="H118" s="25">
        <f>ROUND(E118*F118*'Расчёт'!$B$10/5,0)*5</f>
        <v/>
      </c>
      <c r="I118" s="34">
        <f>G118*VLOOKUP($D118,'Продукты'!$A$4:$G$34,2,FALSE)/100</f>
        <v/>
      </c>
      <c r="J118" s="34">
        <f>G118*VLOOKUP($D118,'Продукты'!$A$4:$G$34,3,FALSE)/100</f>
        <v/>
      </c>
      <c r="K118" s="34">
        <f>G118*VLOOKUP($D118,'Продукты'!$A$4:$G$34,4,FALSE)/100</f>
        <v/>
      </c>
      <c r="L118" s="34">
        <f>G118*VLOOKUP($D118,'Продукты'!$A$4:$G$34,5,FALSE)/100</f>
        <v/>
      </c>
    </row>
    <row r="119">
      <c r="A119" s="25" t="inlineStr">
        <is>
          <t>Сб</t>
        </is>
      </c>
      <c r="B119" s="25" t="inlineStr">
        <is>
          <t>Обед</t>
        </is>
      </c>
      <c r="C119" s="25" t="inlineStr">
        <is>
          <t>Курица в кефире с картофелем</t>
        </is>
      </c>
      <c r="D119" s="25" t="inlineStr">
        <is>
          <t>Картофель</t>
        </is>
      </c>
      <c r="E119" s="25" t="n">
        <v>250</v>
      </c>
      <c r="F119" s="33">
        <f>MIN(1.7,MAX(0.65,'Расчёт'!$B$17/1850.1))</f>
        <v/>
      </c>
      <c r="G119" s="25">
        <f>ROUND(E119*F119/5,0)*5</f>
        <v/>
      </c>
      <c r="H119" s="25">
        <f>ROUND(E119*F119*'Расчёт'!$B$10/5,0)*5</f>
        <v/>
      </c>
      <c r="I119" s="34">
        <f>G119*VLOOKUP($D119,'Продукты'!$A$4:$G$34,2,FALSE)/100</f>
        <v/>
      </c>
      <c r="J119" s="34">
        <f>G119*VLOOKUP($D119,'Продукты'!$A$4:$G$34,3,FALSE)/100</f>
        <v/>
      </c>
      <c r="K119" s="34">
        <f>G119*VLOOKUP($D119,'Продукты'!$A$4:$G$34,4,FALSE)/100</f>
        <v/>
      </c>
      <c r="L119" s="34">
        <f>G119*VLOOKUP($D119,'Продукты'!$A$4:$G$34,5,FALSE)/100</f>
        <v/>
      </c>
    </row>
    <row r="120">
      <c r="A120" s="25" t="inlineStr">
        <is>
          <t>Сб</t>
        </is>
      </c>
      <c r="B120" s="25" t="inlineStr">
        <is>
          <t>Обед</t>
        </is>
      </c>
      <c r="C120" s="25" t="inlineStr">
        <is>
          <t>Курица в кефире с картофелем</t>
        </is>
      </c>
      <c r="D120" s="25" t="inlineStr">
        <is>
          <t>Лук репчатый</t>
        </is>
      </c>
      <c r="E120" s="25" t="n">
        <v>30</v>
      </c>
      <c r="F120" s="33">
        <f>MIN(1.7,MAX(0.65,'Расчёт'!$B$17/1850.1))</f>
        <v/>
      </c>
      <c r="G120" s="25">
        <f>ROUND(E120*F120/5,0)*5</f>
        <v/>
      </c>
      <c r="H120" s="25">
        <f>ROUND(E120*F120*'Расчёт'!$B$10/5,0)*5</f>
        <v/>
      </c>
      <c r="I120" s="34">
        <f>G120*VLOOKUP($D120,'Продукты'!$A$4:$G$34,2,FALSE)/100</f>
        <v/>
      </c>
      <c r="J120" s="34">
        <f>G120*VLOOKUP($D120,'Продукты'!$A$4:$G$34,3,FALSE)/100</f>
        <v/>
      </c>
      <c r="K120" s="34">
        <f>G120*VLOOKUP($D120,'Продукты'!$A$4:$G$34,4,FALSE)/100</f>
        <v/>
      </c>
      <c r="L120" s="34">
        <f>G120*VLOOKUP($D120,'Продукты'!$A$4:$G$34,5,FALSE)/100</f>
        <v/>
      </c>
    </row>
    <row r="121">
      <c r="A121" s="25" t="inlineStr">
        <is>
          <t>Сб</t>
        </is>
      </c>
      <c r="B121" s="25" t="inlineStr">
        <is>
          <t>Обед</t>
        </is>
      </c>
      <c r="C121" s="25" t="inlineStr">
        <is>
          <t>Курица в кефире с картофелем</t>
        </is>
      </c>
      <c r="D121" s="25" t="inlineStr">
        <is>
          <t>Масло растительное</t>
        </is>
      </c>
      <c r="E121" s="25" t="n">
        <v>3</v>
      </c>
      <c r="F121" s="33">
        <f>MIN(1.7,MAX(0.65,'Расчёт'!$B$17/1850.1))</f>
        <v/>
      </c>
      <c r="G121" s="25">
        <f>ROUND(E121*F121/5,0)*5</f>
        <v/>
      </c>
      <c r="H121" s="25">
        <f>ROUND(E121*F121*'Расчёт'!$B$10/5,0)*5</f>
        <v/>
      </c>
      <c r="I121" s="34">
        <f>G121*VLOOKUP($D121,'Продукты'!$A$4:$G$34,2,FALSE)/100</f>
        <v/>
      </c>
      <c r="J121" s="34">
        <f>G121*VLOOKUP($D121,'Продукты'!$A$4:$G$34,3,FALSE)/100</f>
        <v/>
      </c>
      <c r="K121" s="34">
        <f>G121*VLOOKUP($D121,'Продукты'!$A$4:$G$34,4,FALSE)/100</f>
        <v/>
      </c>
      <c r="L121" s="34">
        <f>G121*VLOOKUP($D121,'Продукты'!$A$4:$G$34,5,FALSE)/100</f>
        <v/>
      </c>
    </row>
    <row r="122">
      <c r="A122" s="25" t="inlineStr">
        <is>
          <t>Сб</t>
        </is>
      </c>
      <c r="B122" s="25" t="inlineStr">
        <is>
          <t>Обед</t>
        </is>
      </c>
      <c r="C122" s="25" t="inlineStr">
        <is>
          <t>Курица в кефире с картофелем</t>
        </is>
      </c>
      <c r="D122" s="25" t="inlineStr">
        <is>
          <t>Капуста белокочанная</t>
        </is>
      </c>
      <c r="E122" s="25" t="n">
        <v>100</v>
      </c>
      <c r="F122" s="33">
        <f>MIN(1.7,MAX(0.65,'Расчёт'!$B$17/1850.1))</f>
        <v/>
      </c>
      <c r="G122" s="25">
        <f>ROUND(E122*F122/5,0)*5</f>
        <v/>
      </c>
      <c r="H122" s="25">
        <f>ROUND(E122*F122*'Расчёт'!$B$10/5,0)*5</f>
        <v/>
      </c>
      <c r="I122" s="34">
        <f>G122*VLOOKUP($D122,'Продукты'!$A$4:$G$34,2,FALSE)/100</f>
        <v/>
      </c>
      <c r="J122" s="34">
        <f>G122*VLOOKUP($D122,'Продукты'!$A$4:$G$34,3,FALSE)/100</f>
        <v/>
      </c>
      <c r="K122" s="34">
        <f>G122*VLOOKUP($D122,'Продукты'!$A$4:$G$34,4,FALSE)/100</f>
        <v/>
      </c>
      <c r="L122" s="34">
        <f>G122*VLOOKUP($D122,'Продукты'!$A$4:$G$34,5,FALSE)/100</f>
        <v/>
      </c>
    </row>
    <row r="123">
      <c r="A123" s="25" t="inlineStr">
        <is>
          <t>Сб</t>
        </is>
      </c>
      <c r="B123" s="25" t="inlineStr">
        <is>
          <t>Перекус</t>
        </is>
      </c>
      <c r="C123" s="25" t="inlineStr">
        <is>
          <t>Творог с яблоком</t>
        </is>
      </c>
      <c r="D123" s="25" t="inlineStr">
        <is>
          <t>Творог 5%</t>
        </is>
      </c>
      <c r="E123" s="25" t="n">
        <v>150</v>
      </c>
      <c r="F123" s="33">
        <f>MIN(1.7,MAX(0.65,'Расчёт'!$B$17/1850.1))</f>
        <v/>
      </c>
      <c r="G123" s="25">
        <f>ROUND(E123*F123/5,0)*5</f>
        <v/>
      </c>
      <c r="H123" s="25">
        <f>ROUND(E123*F123*'Расчёт'!$B$10/5,0)*5</f>
        <v/>
      </c>
      <c r="I123" s="34">
        <f>G123*VLOOKUP($D123,'Продукты'!$A$4:$G$34,2,FALSE)/100</f>
        <v/>
      </c>
      <c r="J123" s="34">
        <f>G123*VLOOKUP($D123,'Продукты'!$A$4:$G$34,3,FALSE)/100</f>
        <v/>
      </c>
      <c r="K123" s="34">
        <f>G123*VLOOKUP($D123,'Продукты'!$A$4:$G$34,4,FALSE)/100</f>
        <v/>
      </c>
      <c r="L123" s="34">
        <f>G123*VLOOKUP($D123,'Продукты'!$A$4:$G$34,5,FALSE)/100</f>
        <v/>
      </c>
    </row>
    <row r="124">
      <c r="A124" s="25" t="inlineStr">
        <is>
          <t>Сб</t>
        </is>
      </c>
      <c r="B124" s="25" t="inlineStr">
        <is>
          <t>Перекус</t>
        </is>
      </c>
      <c r="C124" s="25" t="inlineStr">
        <is>
          <t>Творог с яблоком</t>
        </is>
      </c>
      <c r="D124" s="25" t="inlineStr">
        <is>
          <t>Яблоки</t>
        </is>
      </c>
      <c r="E124" s="25" t="n">
        <v>150</v>
      </c>
      <c r="F124" s="33">
        <f>MIN(1.7,MAX(0.65,'Расчёт'!$B$17/1850.1))</f>
        <v/>
      </c>
      <c r="G124" s="25">
        <f>ROUND(E124*F124/5,0)*5</f>
        <v/>
      </c>
      <c r="H124" s="25">
        <f>ROUND(E124*F124*'Расчёт'!$B$10/5,0)*5</f>
        <v/>
      </c>
      <c r="I124" s="34">
        <f>G124*VLOOKUP($D124,'Продукты'!$A$4:$G$34,2,FALSE)/100</f>
        <v/>
      </c>
      <c r="J124" s="34">
        <f>G124*VLOOKUP($D124,'Продукты'!$A$4:$G$34,3,FALSE)/100</f>
        <v/>
      </c>
      <c r="K124" s="34">
        <f>G124*VLOOKUP($D124,'Продукты'!$A$4:$G$34,4,FALSE)/100</f>
        <v/>
      </c>
      <c r="L124" s="34">
        <f>G124*VLOOKUP($D124,'Продукты'!$A$4:$G$34,5,FALSE)/100</f>
        <v/>
      </c>
    </row>
    <row r="125">
      <c r="A125" s="25" t="inlineStr">
        <is>
          <t>Сб</t>
        </is>
      </c>
      <c r="B125" s="25" t="inlineStr">
        <is>
          <t>Ужин</t>
        </is>
      </c>
      <c r="C125" s="25" t="inlineStr">
        <is>
          <t>Творожная запеканка с бананом</t>
        </is>
      </c>
      <c r="D125" s="25" t="inlineStr">
        <is>
          <t>Творог 5%</t>
        </is>
      </c>
      <c r="E125" s="25" t="n">
        <v>200</v>
      </c>
      <c r="F125" s="33">
        <f>MIN(1.7,MAX(0.65,'Расчёт'!$B$17/1850.1))</f>
        <v/>
      </c>
      <c r="G125" s="25">
        <f>ROUND(E125*F125/5,0)*5</f>
        <v/>
      </c>
      <c r="H125" s="25">
        <f>ROUND(E125*F125*'Расчёт'!$B$10/5,0)*5</f>
        <v/>
      </c>
      <c r="I125" s="34">
        <f>G125*VLOOKUP($D125,'Продукты'!$A$4:$G$34,2,FALSE)/100</f>
        <v/>
      </c>
      <c r="J125" s="34">
        <f>G125*VLOOKUP($D125,'Продукты'!$A$4:$G$34,3,FALSE)/100</f>
        <v/>
      </c>
      <c r="K125" s="34">
        <f>G125*VLOOKUP($D125,'Продукты'!$A$4:$G$34,4,FALSE)/100</f>
        <v/>
      </c>
      <c r="L125" s="34">
        <f>G125*VLOOKUP($D125,'Продукты'!$A$4:$G$34,5,FALSE)/100</f>
        <v/>
      </c>
    </row>
    <row r="126">
      <c r="A126" s="25" t="inlineStr">
        <is>
          <t>Сб</t>
        </is>
      </c>
      <c r="B126" s="25" t="inlineStr">
        <is>
          <t>Ужин</t>
        </is>
      </c>
      <c r="C126" s="25" t="inlineStr">
        <is>
          <t>Творожная запеканка с бананом</t>
        </is>
      </c>
      <c r="D126" s="25" t="inlineStr">
        <is>
          <t>Яйцо</t>
        </is>
      </c>
      <c r="E126" s="25" t="n">
        <v>55</v>
      </c>
      <c r="F126" s="33">
        <f>MIN(1.7,MAX(0.65,'Расчёт'!$B$17/1850.1))</f>
        <v/>
      </c>
      <c r="G126" s="25">
        <f>ROUND(E126*F126/5,0)*5</f>
        <v/>
      </c>
      <c r="H126" s="25">
        <f>ROUND(E126*F126*'Расчёт'!$B$10/5,0)*5</f>
        <v/>
      </c>
      <c r="I126" s="34">
        <f>G126*VLOOKUP($D126,'Продукты'!$A$4:$G$34,2,FALSE)/100</f>
        <v/>
      </c>
      <c r="J126" s="34">
        <f>G126*VLOOKUP($D126,'Продукты'!$A$4:$G$34,3,FALSE)/100</f>
        <v/>
      </c>
      <c r="K126" s="34">
        <f>G126*VLOOKUP($D126,'Продукты'!$A$4:$G$34,4,FALSE)/100</f>
        <v/>
      </c>
      <c r="L126" s="34">
        <f>G126*VLOOKUP($D126,'Продукты'!$A$4:$G$34,5,FALSE)/100</f>
        <v/>
      </c>
    </row>
    <row r="127">
      <c r="A127" s="25" t="inlineStr">
        <is>
          <t>Сб</t>
        </is>
      </c>
      <c r="B127" s="25" t="inlineStr">
        <is>
          <t>Ужин</t>
        </is>
      </c>
      <c r="C127" s="25" t="inlineStr">
        <is>
          <t>Творожная запеканка с бананом</t>
        </is>
      </c>
      <c r="D127" s="25" t="inlineStr">
        <is>
          <t>Овсяные хлопья (сухие)</t>
        </is>
      </c>
      <c r="E127" s="25" t="n">
        <v>30</v>
      </c>
      <c r="F127" s="33">
        <f>MIN(1.7,MAX(0.65,'Расчёт'!$B$17/1850.1))</f>
        <v/>
      </c>
      <c r="G127" s="25">
        <f>ROUND(E127*F127/5,0)*5</f>
        <v/>
      </c>
      <c r="H127" s="25">
        <f>ROUND(E127*F127*'Расчёт'!$B$10/5,0)*5</f>
        <v/>
      </c>
      <c r="I127" s="34">
        <f>G127*VLOOKUP($D127,'Продукты'!$A$4:$G$34,2,FALSE)/100</f>
        <v/>
      </c>
      <c r="J127" s="34">
        <f>G127*VLOOKUP($D127,'Продукты'!$A$4:$G$34,3,FALSE)/100</f>
        <v/>
      </c>
      <c r="K127" s="34">
        <f>G127*VLOOKUP($D127,'Продукты'!$A$4:$G$34,4,FALSE)/100</f>
        <v/>
      </c>
      <c r="L127" s="34">
        <f>G127*VLOOKUP($D127,'Продукты'!$A$4:$G$34,5,FALSE)/100</f>
        <v/>
      </c>
    </row>
    <row r="128">
      <c r="A128" s="25" t="inlineStr">
        <is>
          <t>Сб</t>
        </is>
      </c>
      <c r="B128" s="25" t="inlineStr">
        <is>
          <t>Ужин</t>
        </is>
      </c>
      <c r="C128" s="25" t="inlineStr">
        <is>
          <t>Творожная запеканка с бананом</t>
        </is>
      </c>
      <c r="D128" s="25" t="inlineStr">
        <is>
          <t>Бананы (очищенные)</t>
        </is>
      </c>
      <c r="E128" s="25" t="n">
        <v>100</v>
      </c>
      <c r="F128" s="33">
        <f>MIN(1.7,MAX(0.65,'Расчёт'!$B$17/1850.1))</f>
        <v/>
      </c>
      <c r="G128" s="25">
        <f>ROUND(E128*F128/5,0)*5</f>
        <v/>
      </c>
      <c r="H128" s="25">
        <f>ROUND(E128*F128*'Расчёт'!$B$10/5,0)*5</f>
        <v/>
      </c>
      <c r="I128" s="34">
        <f>G128*VLOOKUP($D128,'Продукты'!$A$4:$G$34,2,FALSE)/100</f>
        <v/>
      </c>
      <c r="J128" s="34">
        <f>G128*VLOOKUP($D128,'Продукты'!$A$4:$G$34,3,FALSE)/100</f>
        <v/>
      </c>
      <c r="K128" s="34">
        <f>G128*VLOOKUP($D128,'Продукты'!$A$4:$G$34,4,FALSE)/100</f>
        <v/>
      </c>
      <c r="L128" s="34">
        <f>G128*VLOOKUP($D128,'Продукты'!$A$4:$G$34,5,FALSE)/100</f>
        <v/>
      </c>
    </row>
    <row r="129">
      <c r="A129" s="25" t="inlineStr">
        <is>
          <t>Сб</t>
        </is>
      </c>
      <c r="B129" s="25" t="inlineStr">
        <is>
          <t>Ужин</t>
        </is>
      </c>
      <c r="C129" s="25" t="inlineStr">
        <is>
          <t>Добавка</t>
        </is>
      </c>
      <c r="D129" s="25" t="inlineStr">
        <is>
          <t>Салат айсберг</t>
        </is>
      </c>
      <c r="E129" s="25" t="n">
        <v>150</v>
      </c>
      <c r="F129" s="33">
        <f>MIN(1.7,MAX(0.65,'Расчёт'!$B$17/1850.1))</f>
        <v/>
      </c>
      <c r="G129" s="25">
        <f>ROUND(E129*F129/5,0)*5</f>
        <v/>
      </c>
      <c r="H129" s="25">
        <f>ROUND(E129*F129*'Расчёт'!$B$10/5,0)*5</f>
        <v/>
      </c>
      <c r="I129" s="34">
        <f>G129*VLOOKUP($D129,'Продукты'!$A$4:$G$34,2,FALSE)/100</f>
        <v/>
      </c>
      <c r="J129" s="34">
        <f>G129*VLOOKUP($D129,'Продукты'!$A$4:$G$34,3,FALSE)/100</f>
        <v/>
      </c>
      <c r="K129" s="34">
        <f>G129*VLOOKUP($D129,'Продукты'!$A$4:$G$34,4,FALSE)/100</f>
        <v/>
      </c>
      <c r="L129" s="34">
        <f>G129*VLOOKUP($D129,'Продукты'!$A$4:$G$34,5,FALSE)/100</f>
        <v/>
      </c>
    </row>
    <row r="130">
      <c r="A130" s="25" t="inlineStr">
        <is>
          <t>Сб</t>
        </is>
      </c>
      <c r="B130" s="25" t="inlineStr">
        <is>
          <t>Ужин</t>
        </is>
      </c>
      <c r="C130" s="25" t="inlineStr">
        <is>
          <t>Добавка</t>
        </is>
      </c>
      <c r="D130" s="25" t="inlineStr">
        <is>
          <t>Хлеб цельнозерновой/ржаной</t>
        </is>
      </c>
      <c r="E130" s="25" t="n">
        <v>60</v>
      </c>
      <c r="F130" s="33">
        <f>MIN(1.7,MAX(0.65,'Расчёт'!$B$17/1850.1))</f>
        <v/>
      </c>
      <c r="G130" s="25">
        <f>ROUND(E130*F130/5,0)*5</f>
        <v/>
      </c>
      <c r="H130" s="25">
        <f>ROUND(E130*F130*'Расчёт'!$B$10/5,0)*5</f>
        <v/>
      </c>
      <c r="I130" s="34">
        <f>G130*VLOOKUP($D130,'Продукты'!$A$4:$G$34,2,FALSE)/100</f>
        <v/>
      </c>
      <c r="J130" s="34">
        <f>G130*VLOOKUP($D130,'Продукты'!$A$4:$G$34,3,FALSE)/100</f>
        <v/>
      </c>
      <c r="K130" s="34">
        <f>G130*VLOOKUP($D130,'Продукты'!$A$4:$G$34,4,FALSE)/100</f>
        <v/>
      </c>
      <c r="L130" s="34">
        <f>G130*VLOOKUP($D130,'Продукты'!$A$4:$G$34,5,FALSE)/100</f>
        <v/>
      </c>
    </row>
    <row r="131">
      <c r="A131" s="22" t="inlineStr">
        <is>
          <t>Вс</t>
        </is>
      </c>
      <c r="B131" s="22" t="inlineStr">
        <is>
          <t>Завтрак</t>
        </is>
      </c>
      <c r="C131" s="22" t="inlineStr">
        <is>
          <t>Овсянка на молоке с бананом</t>
        </is>
      </c>
      <c r="D131" s="22" t="inlineStr">
        <is>
          <t>Овсяные хлопья (сухие)</t>
        </is>
      </c>
      <c r="E131" s="22" t="n">
        <v>70</v>
      </c>
      <c r="F131" s="31">
        <f>MIN(1.7,MAX(0.65,'Расчёт'!$B$17/1971.9))</f>
        <v/>
      </c>
      <c r="G131" s="22">
        <f>ROUND(E131*F131/5,0)*5</f>
        <v/>
      </c>
      <c r="H131" s="22">
        <f>ROUND(E131*F131*'Расчёт'!$B$10/5,0)*5</f>
        <v/>
      </c>
      <c r="I131" s="32">
        <f>G131*VLOOKUP($D131,'Продукты'!$A$4:$G$34,2,FALSE)/100</f>
        <v/>
      </c>
      <c r="J131" s="32">
        <f>G131*VLOOKUP($D131,'Продукты'!$A$4:$G$34,3,FALSE)/100</f>
        <v/>
      </c>
      <c r="K131" s="32">
        <f>G131*VLOOKUP($D131,'Продукты'!$A$4:$G$34,4,FALSE)/100</f>
        <v/>
      </c>
      <c r="L131" s="32">
        <f>G131*VLOOKUP($D131,'Продукты'!$A$4:$G$34,5,FALSE)/100</f>
        <v/>
      </c>
    </row>
    <row r="132">
      <c r="A132" s="22" t="inlineStr">
        <is>
          <t>Вс</t>
        </is>
      </c>
      <c r="B132" s="22" t="inlineStr">
        <is>
          <t>Завтрак</t>
        </is>
      </c>
      <c r="C132" s="22" t="inlineStr">
        <is>
          <t>Овсянка на молоке с бананом</t>
        </is>
      </c>
      <c r="D132" s="22" t="inlineStr">
        <is>
          <t>Молоко 2.5%</t>
        </is>
      </c>
      <c r="E132" s="22" t="n">
        <v>200</v>
      </c>
      <c r="F132" s="31">
        <f>MIN(1.7,MAX(0.65,'Расчёт'!$B$17/1971.9))</f>
        <v/>
      </c>
      <c r="G132" s="22">
        <f>ROUND(E132*F132/5,0)*5</f>
        <v/>
      </c>
      <c r="H132" s="22">
        <f>ROUND(E132*F132*'Расчёт'!$B$10/5,0)*5</f>
        <v/>
      </c>
      <c r="I132" s="32">
        <f>G132*VLOOKUP($D132,'Продукты'!$A$4:$G$34,2,FALSE)/100</f>
        <v/>
      </c>
      <c r="J132" s="32">
        <f>G132*VLOOKUP($D132,'Продукты'!$A$4:$G$34,3,FALSE)/100</f>
        <v/>
      </c>
      <c r="K132" s="32">
        <f>G132*VLOOKUP($D132,'Продукты'!$A$4:$G$34,4,FALSE)/100</f>
        <v/>
      </c>
      <c r="L132" s="32">
        <f>G132*VLOOKUP($D132,'Продукты'!$A$4:$G$34,5,FALSE)/100</f>
        <v/>
      </c>
    </row>
    <row r="133">
      <c r="A133" s="22" t="inlineStr">
        <is>
          <t>Вс</t>
        </is>
      </c>
      <c r="B133" s="22" t="inlineStr">
        <is>
          <t>Завтрак</t>
        </is>
      </c>
      <c r="C133" s="22" t="inlineStr">
        <is>
          <t>Овсянка на молоке с бананом</t>
        </is>
      </c>
      <c r="D133" s="22" t="inlineStr">
        <is>
          <t>Бананы (очищенные)</t>
        </is>
      </c>
      <c r="E133" s="22" t="n">
        <v>100</v>
      </c>
      <c r="F133" s="31">
        <f>MIN(1.7,MAX(0.65,'Расчёт'!$B$17/1971.9))</f>
        <v/>
      </c>
      <c r="G133" s="22">
        <f>ROUND(E133*F133/5,0)*5</f>
        <v/>
      </c>
      <c r="H133" s="22">
        <f>ROUND(E133*F133*'Расчёт'!$B$10/5,0)*5</f>
        <v/>
      </c>
      <c r="I133" s="32">
        <f>G133*VLOOKUP($D133,'Продукты'!$A$4:$G$34,2,FALSE)/100</f>
        <v/>
      </c>
      <c r="J133" s="32">
        <f>G133*VLOOKUP($D133,'Продукты'!$A$4:$G$34,3,FALSE)/100</f>
        <v/>
      </c>
      <c r="K133" s="32">
        <f>G133*VLOOKUP($D133,'Продукты'!$A$4:$G$34,4,FALSE)/100</f>
        <v/>
      </c>
      <c r="L133" s="32">
        <f>G133*VLOOKUP($D133,'Продукты'!$A$4:$G$34,5,FALSE)/100</f>
        <v/>
      </c>
    </row>
    <row r="134">
      <c r="A134" s="22" t="inlineStr">
        <is>
          <t>Вс</t>
        </is>
      </c>
      <c r="B134" s="22" t="inlineStr">
        <is>
          <t>Завтрак</t>
        </is>
      </c>
      <c r="C134" s="22" t="inlineStr">
        <is>
          <t>Овсянка на молоке с бананом</t>
        </is>
      </c>
      <c r="D134" s="22" t="inlineStr">
        <is>
          <t>Грецкие орехи</t>
        </is>
      </c>
      <c r="E134" s="22" t="n">
        <v>10</v>
      </c>
      <c r="F134" s="31">
        <f>MIN(1.7,MAX(0.65,'Расчёт'!$B$17/1971.9))</f>
        <v/>
      </c>
      <c r="G134" s="22">
        <f>ROUND(E134*F134/5,0)*5</f>
        <v/>
      </c>
      <c r="H134" s="22">
        <f>ROUND(E134*F134*'Расчёт'!$B$10/5,0)*5</f>
        <v/>
      </c>
      <c r="I134" s="32">
        <f>G134*VLOOKUP($D134,'Продукты'!$A$4:$G$34,2,FALSE)/100</f>
        <v/>
      </c>
      <c r="J134" s="32">
        <f>G134*VLOOKUP($D134,'Продукты'!$A$4:$G$34,3,FALSE)/100</f>
        <v/>
      </c>
      <c r="K134" s="32">
        <f>G134*VLOOKUP($D134,'Продукты'!$A$4:$G$34,4,FALSE)/100</f>
        <v/>
      </c>
      <c r="L134" s="32">
        <f>G134*VLOOKUP($D134,'Продукты'!$A$4:$G$34,5,FALSE)/100</f>
        <v/>
      </c>
    </row>
    <row r="135">
      <c r="A135" s="22" t="inlineStr">
        <is>
          <t>Вс</t>
        </is>
      </c>
      <c r="B135" s="22" t="inlineStr">
        <is>
          <t>Завтрак</t>
        </is>
      </c>
      <c r="C135" s="22" t="inlineStr">
        <is>
          <t>Добавка</t>
        </is>
      </c>
      <c r="D135" s="22" t="inlineStr">
        <is>
          <t>Яйцо</t>
        </is>
      </c>
      <c r="E135" s="22" t="n">
        <v>110</v>
      </c>
      <c r="F135" s="31">
        <f>MIN(1.7,MAX(0.65,'Расчёт'!$B$17/1971.9))</f>
        <v/>
      </c>
      <c r="G135" s="22">
        <f>ROUND(E135*F135/5,0)*5</f>
        <v/>
      </c>
      <c r="H135" s="22">
        <f>ROUND(E135*F135*'Расчёт'!$B$10/5,0)*5</f>
        <v/>
      </c>
      <c r="I135" s="32">
        <f>G135*VLOOKUP($D135,'Продукты'!$A$4:$G$34,2,FALSE)/100</f>
        <v/>
      </c>
      <c r="J135" s="32">
        <f>G135*VLOOKUP($D135,'Продукты'!$A$4:$G$34,3,FALSE)/100</f>
        <v/>
      </c>
      <c r="K135" s="32">
        <f>G135*VLOOKUP($D135,'Продукты'!$A$4:$G$34,4,FALSE)/100</f>
        <v/>
      </c>
      <c r="L135" s="32">
        <f>G135*VLOOKUP($D135,'Продукты'!$A$4:$G$34,5,FALSE)/100</f>
        <v/>
      </c>
    </row>
    <row r="136">
      <c r="A136" s="22" t="inlineStr">
        <is>
          <t>Вс</t>
        </is>
      </c>
      <c r="B136" s="22" t="inlineStr">
        <is>
          <t>Обед</t>
        </is>
      </c>
      <c r="C136" s="22" t="inlineStr">
        <is>
          <t>Куриный суп с картофелем и пшеном</t>
        </is>
      </c>
      <c r="D136" s="22" t="inlineStr">
        <is>
          <t>Куриные бёдра/голень без кожи</t>
        </is>
      </c>
      <c r="E136" s="22" t="n">
        <v>170</v>
      </c>
      <c r="F136" s="31">
        <f>MIN(1.7,MAX(0.65,'Расчёт'!$B$17/1971.9))</f>
        <v/>
      </c>
      <c r="G136" s="22">
        <f>ROUND(E136*F136/5,0)*5</f>
        <v/>
      </c>
      <c r="H136" s="22">
        <f>ROUND(E136*F136*'Расчёт'!$B$10/5,0)*5</f>
        <v/>
      </c>
      <c r="I136" s="32">
        <f>G136*VLOOKUP($D136,'Продукты'!$A$4:$G$34,2,FALSE)/100</f>
        <v/>
      </c>
      <c r="J136" s="32">
        <f>G136*VLOOKUP($D136,'Продукты'!$A$4:$G$34,3,FALSE)/100</f>
        <v/>
      </c>
      <c r="K136" s="32">
        <f>G136*VLOOKUP($D136,'Продукты'!$A$4:$G$34,4,FALSE)/100</f>
        <v/>
      </c>
      <c r="L136" s="32">
        <f>G136*VLOOKUP($D136,'Продукты'!$A$4:$G$34,5,FALSE)/100</f>
        <v/>
      </c>
    </row>
    <row r="137">
      <c r="A137" s="22" t="inlineStr">
        <is>
          <t>Вс</t>
        </is>
      </c>
      <c r="B137" s="22" t="inlineStr">
        <is>
          <t>Обед</t>
        </is>
      </c>
      <c r="C137" s="22" t="inlineStr">
        <is>
          <t>Куриный суп с картофелем и пшеном</t>
        </is>
      </c>
      <c r="D137" s="22" t="inlineStr">
        <is>
          <t>Картофель</t>
        </is>
      </c>
      <c r="E137" s="22" t="n">
        <v>200</v>
      </c>
      <c r="F137" s="31">
        <f>MIN(1.7,MAX(0.65,'Расчёт'!$B$17/1971.9))</f>
        <v/>
      </c>
      <c r="G137" s="22">
        <f>ROUND(E137*F137/5,0)*5</f>
        <v/>
      </c>
      <c r="H137" s="22">
        <f>ROUND(E137*F137*'Расчёт'!$B$10/5,0)*5</f>
        <v/>
      </c>
      <c r="I137" s="32">
        <f>G137*VLOOKUP($D137,'Продукты'!$A$4:$G$34,2,FALSE)/100</f>
        <v/>
      </c>
      <c r="J137" s="32">
        <f>G137*VLOOKUP($D137,'Продукты'!$A$4:$G$34,3,FALSE)/100</f>
        <v/>
      </c>
      <c r="K137" s="32">
        <f>G137*VLOOKUP($D137,'Продукты'!$A$4:$G$34,4,FALSE)/100</f>
        <v/>
      </c>
      <c r="L137" s="32">
        <f>G137*VLOOKUP($D137,'Продукты'!$A$4:$G$34,5,FALSE)/100</f>
        <v/>
      </c>
    </row>
    <row r="138">
      <c r="A138" s="22" t="inlineStr">
        <is>
          <t>Вс</t>
        </is>
      </c>
      <c r="B138" s="22" t="inlineStr">
        <is>
          <t>Обед</t>
        </is>
      </c>
      <c r="C138" s="22" t="inlineStr">
        <is>
          <t>Куриный суп с картофелем и пшеном</t>
        </is>
      </c>
      <c r="D138" s="22" t="inlineStr">
        <is>
          <t>Пшено (сухое)</t>
        </is>
      </c>
      <c r="E138" s="22" t="n">
        <v>30</v>
      </c>
      <c r="F138" s="31">
        <f>MIN(1.7,MAX(0.65,'Расчёт'!$B$17/1971.9))</f>
        <v/>
      </c>
      <c r="G138" s="22">
        <f>ROUND(E138*F138/5,0)*5</f>
        <v/>
      </c>
      <c r="H138" s="22">
        <f>ROUND(E138*F138*'Расчёт'!$B$10/5,0)*5</f>
        <v/>
      </c>
      <c r="I138" s="32">
        <f>G138*VLOOKUP($D138,'Продукты'!$A$4:$G$34,2,FALSE)/100</f>
        <v/>
      </c>
      <c r="J138" s="32">
        <f>G138*VLOOKUP($D138,'Продукты'!$A$4:$G$34,3,FALSE)/100</f>
        <v/>
      </c>
      <c r="K138" s="32">
        <f>G138*VLOOKUP($D138,'Продукты'!$A$4:$G$34,4,FALSE)/100</f>
        <v/>
      </c>
      <c r="L138" s="32">
        <f>G138*VLOOKUP($D138,'Продукты'!$A$4:$G$34,5,FALSE)/100</f>
        <v/>
      </c>
    </row>
    <row r="139">
      <c r="A139" s="22" t="inlineStr">
        <is>
          <t>Вс</t>
        </is>
      </c>
      <c r="B139" s="22" t="inlineStr">
        <is>
          <t>Обед</t>
        </is>
      </c>
      <c r="C139" s="22" t="inlineStr">
        <is>
          <t>Куриный суп с картофелем и пшеном</t>
        </is>
      </c>
      <c r="D139" s="22" t="inlineStr">
        <is>
          <t>Морковь</t>
        </is>
      </c>
      <c r="E139" s="22" t="n">
        <v>50</v>
      </c>
      <c r="F139" s="31">
        <f>MIN(1.7,MAX(0.65,'Расчёт'!$B$17/1971.9))</f>
        <v/>
      </c>
      <c r="G139" s="22">
        <f>ROUND(E139*F139/5,0)*5</f>
        <v/>
      </c>
      <c r="H139" s="22">
        <f>ROUND(E139*F139*'Расчёт'!$B$10/5,0)*5</f>
        <v/>
      </c>
      <c r="I139" s="32">
        <f>G139*VLOOKUP($D139,'Продукты'!$A$4:$G$34,2,FALSE)/100</f>
        <v/>
      </c>
      <c r="J139" s="32">
        <f>G139*VLOOKUP($D139,'Продукты'!$A$4:$G$34,3,FALSE)/100</f>
        <v/>
      </c>
      <c r="K139" s="32">
        <f>G139*VLOOKUP($D139,'Продукты'!$A$4:$G$34,4,FALSE)/100</f>
        <v/>
      </c>
      <c r="L139" s="32">
        <f>G139*VLOOKUP($D139,'Продукты'!$A$4:$G$34,5,FALSE)/100</f>
        <v/>
      </c>
    </row>
    <row r="140">
      <c r="A140" s="22" t="inlineStr">
        <is>
          <t>Вс</t>
        </is>
      </c>
      <c r="B140" s="22" t="inlineStr">
        <is>
          <t>Обед</t>
        </is>
      </c>
      <c r="C140" s="22" t="inlineStr">
        <is>
          <t>Куриный суп с картофелем и пшеном</t>
        </is>
      </c>
      <c r="D140" s="22" t="inlineStr">
        <is>
          <t>Лук репчатый</t>
        </is>
      </c>
      <c r="E140" s="22" t="n">
        <v>40</v>
      </c>
      <c r="F140" s="31">
        <f>MIN(1.7,MAX(0.65,'Расчёт'!$B$17/1971.9))</f>
        <v/>
      </c>
      <c r="G140" s="22">
        <f>ROUND(E140*F140/5,0)*5</f>
        <v/>
      </c>
      <c r="H140" s="22">
        <f>ROUND(E140*F140*'Расчёт'!$B$10/5,0)*5</f>
        <v/>
      </c>
      <c r="I140" s="32">
        <f>G140*VLOOKUP($D140,'Продукты'!$A$4:$G$34,2,FALSE)/100</f>
        <v/>
      </c>
      <c r="J140" s="32">
        <f>G140*VLOOKUP($D140,'Продукты'!$A$4:$G$34,3,FALSE)/100</f>
        <v/>
      </c>
      <c r="K140" s="32">
        <f>G140*VLOOKUP($D140,'Продукты'!$A$4:$G$34,4,FALSE)/100</f>
        <v/>
      </c>
      <c r="L140" s="32">
        <f>G140*VLOOKUP($D140,'Продукты'!$A$4:$G$34,5,FALSE)/100</f>
        <v/>
      </c>
    </row>
    <row r="141">
      <c r="A141" s="22" t="inlineStr">
        <is>
          <t>Вс</t>
        </is>
      </c>
      <c r="B141" s="22" t="inlineStr">
        <is>
          <t>Обед</t>
        </is>
      </c>
      <c r="C141" s="22" t="inlineStr">
        <is>
          <t>Куриный суп с картофелем и пшеном</t>
        </is>
      </c>
      <c r="D141" s="22" t="inlineStr">
        <is>
          <t>Масло растительное</t>
        </is>
      </c>
      <c r="E141" s="22" t="n">
        <v>3</v>
      </c>
      <c r="F141" s="31">
        <f>MIN(1.7,MAX(0.65,'Расчёт'!$B$17/1971.9))</f>
        <v/>
      </c>
      <c r="G141" s="22">
        <f>ROUND(E141*F141/5,0)*5</f>
        <v/>
      </c>
      <c r="H141" s="22">
        <f>ROUND(E141*F141*'Расчёт'!$B$10/5,0)*5</f>
        <v/>
      </c>
      <c r="I141" s="32">
        <f>G141*VLOOKUP($D141,'Продукты'!$A$4:$G$34,2,FALSE)/100</f>
        <v/>
      </c>
      <c r="J141" s="32">
        <f>G141*VLOOKUP($D141,'Продукты'!$A$4:$G$34,3,FALSE)/100</f>
        <v/>
      </c>
      <c r="K141" s="32">
        <f>G141*VLOOKUP($D141,'Продукты'!$A$4:$G$34,4,FALSE)/100</f>
        <v/>
      </c>
      <c r="L141" s="32">
        <f>G141*VLOOKUP($D141,'Продукты'!$A$4:$G$34,5,FALSE)/100</f>
        <v/>
      </c>
    </row>
    <row r="142">
      <c r="A142" s="22" t="inlineStr">
        <is>
          <t>Вс</t>
        </is>
      </c>
      <c r="B142" s="22" t="inlineStr">
        <is>
          <t>Перекус</t>
        </is>
      </c>
      <c r="C142" s="22" t="inlineStr">
        <is>
          <t>Кефир с бананом</t>
        </is>
      </c>
      <c r="D142" s="22" t="inlineStr">
        <is>
          <t>Кефир 1%</t>
        </is>
      </c>
      <c r="E142" s="22" t="n">
        <v>300</v>
      </c>
      <c r="F142" s="31">
        <f>MIN(1.7,MAX(0.65,'Расчёт'!$B$17/1971.9))</f>
        <v/>
      </c>
      <c r="G142" s="22">
        <f>ROUND(E142*F142/5,0)*5</f>
        <v/>
      </c>
      <c r="H142" s="22">
        <f>ROUND(E142*F142*'Расчёт'!$B$10/5,0)*5</f>
        <v/>
      </c>
      <c r="I142" s="32">
        <f>G142*VLOOKUP($D142,'Продукты'!$A$4:$G$34,2,FALSE)/100</f>
        <v/>
      </c>
      <c r="J142" s="32">
        <f>G142*VLOOKUP($D142,'Продукты'!$A$4:$G$34,3,FALSE)/100</f>
        <v/>
      </c>
      <c r="K142" s="32">
        <f>G142*VLOOKUP($D142,'Продукты'!$A$4:$G$34,4,FALSE)/100</f>
        <v/>
      </c>
      <c r="L142" s="32">
        <f>G142*VLOOKUP($D142,'Продукты'!$A$4:$G$34,5,FALSE)/100</f>
        <v/>
      </c>
    </row>
    <row r="143">
      <c r="A143" s="22" t="inlineStr">
        <is>
          <t>Вс</t>
        </is>
      </c>
      <c r="B143" s="22" t="inlineStr">
        <is>
          <t>Перекус</t>
        </is>
      </c>
      <c r="C143" s="22" t="inlineStr">
        <is>
          <t>Кефир с бананом</t>
        </is>
      </c>
      <c r="D143" s="22" t="inlineStr">
        <is>
          <t>Бананы (очищенные)</t>
        </is>
      </c>
      <c r="E143" s="22" t="n">
        <v>110</v>
      </c>
      <c r="F143" s="31">
        <f>MIN(1.7,MAX(0.65,'Расчёт'!$B$17/1971.9))</f>
        <v/>
      </c>
      <c r="G143" s="22">
        <f>ROUND(E143*F143/5,0)*5</f>
        <v/>
      </c>
      <c r="H143" s="22">
        <f>ROUND(E143*F143*'Расчёт'!$B$10/5,0)*5</f>
        <v/>
      </c>
      <c r="I143" s="32">
        <f>G143*VLOOKUP($D143,'Продукты'!$A$4:$G$34,2,FALSE)/100</f>
        <v/>
      </c>
      <c r="J143" s="32">
        <f>G143*VLOOKUP($D143,'Продукты'!$A$4:$G$34,3,FALSE)/100</f>
        <v/>
      </c>
      <c r="K143" s="32">
        <f>G143*VLOOKUP($D143,'Продукты'!$A$4:$G$34,4,FALSE)/100</f>
        <v/>
      </c>
      <c r="L143" s="32">
        <f>G143*VLOOKUP($D143,'Продукты'!$A$4:$G$34,5,FALSE)/100</f>
        <v/>
      </c>
    </row>
    <row r="144">
      <c r="A144" s="22" t="inlineStr">
        <is>
          <t>Вс</t>
        </is>
      </c>
      <c r="B144" s="22" t="inlineStr">
        <is>
          <t>Перекус</t>
        </is>
      </c>
      <c r="C144" s="22" t="inlineStr">
        <is>
          <t>Кефир с бананом</t>
        </is>
      </c>
      <c r="D144" s="22" t="inlineStr">
        <is>
          <t>Хлеб цельнозерновой/ржаной</t>
        </is>
      </c>
      <c r="E144" s="22" t="n">
        <v>30</v>
      </c>
      <c r="F144" s="31">
        <f>MIN(1.7,MAX(0.65,'Расчёт'!$B$17/1971.9))</f>
        <v/>
      </c>
      <c r="G144" s="22">
        <f>ROUND(E144*F144/5,0)*5</f>
        <v/>
      </c>
      <c r="H144" s="22">
        <f>ROUND(E144*F144*'Расчёт'!$B$10/5,0)*5</f>
        <v/>
      </c>
      <c r="I144" s="32">
        <f>G144*VLOOKUP($D144,'Продукты'!$A$4:$G$34,2,FALSE)/100</f>
        <v/>
      </c>
      <c r="J144" s="32">
        <f>G144*VLOOKUP($D144,'Продукты'!$A$4:$G$34,3,FALSE)/100</f>
        <v/>
      </c>
      <c r="K144" s="32">
        <f>G144*VLOOKUP($D144,'Продукты'!$A$4:$G$34,4,FALSE)/100</f>
        <v/>
      </c>
      <c r="L144" s="32">
        <f>G144*VLOOKUP($D144,'Продукты'!$A$4:$G$34,5,FALSE)/100</f>
        <v/>
      </c>
    </row>
    <row r="145">
      <c r="A145" s="22" t="inlineStr">
        <is>
          <t>Вс</t>
        </is>
      </c>
      <c r="B145" s="22" t="inlineStr">
        <is>
          <t>Ужин</t>
        </is>
      </c>
      <c r="C145" s="22" t="inlineStr">
        <is>
          <t>Творог с овощами и хлебом</t>
        </is>
      </c>
      <c r="D145" s="22" t="inlineStr">
        <is>
          <t>Творог 5%</t>
        </is>
      </c>
      <c r="E145" s="22" t="n">
        <v>250</v>
      </c>
      <c r="F145" s="31">
        <f>MIN(1.7,MAX(0.65,'Расчёт'!$B$17/1971.9))</f>
        <v/>
      </c>
      <c r="G145" s="22">
        <f>ROUND(E145*F145/5,0)*5</f>
        <v/>
      </c>
      <c r="H145" s="22">
        <f>ROUND(E145*F145*'Расчёт'!$B$10/5,0)*5</f>
        <v/>
      </c>
      <c r="I145" s="32">
        <f>G145*VLOOKUP($D145,'Продукты'!$A$4:$G$34,2,FALSE)/100</f>
        <v/>
      </c>
      <c r="J145" s="32">
        <f>G145*VLOOKUP($D145,'Продукты'!$A$4:$G$34,3,FALSE)/100</f>
        <v/>
      </c>
      <c r="K145" s="32">
        <f>G145*VLOOKUP($D145,'Продукты'!$A$4:$G$34,4,FALSE)/100</f>
        <v/>
      </c>
      <c r="L145" s="32">
        <f>G145*VLOOKUP($D145,'Продукты'!$A$4:$G$34,5,FALSE)/100</f>
        <v/>
      </c>
    </row>
    <row r="146">
      <c r="A146" s="22" t="inlineStr">
        <is>
          <t>Вс</t>
        </is>
      </c>
      <c r="B146" s="22" t="inlineStr">
        <is>
          <t>Ужин</t>
        </is>
      </c>
      <c r="C146" s="22" t="inlineStr">
        <is>
          <t>Творог с овощами и хлебом</t>
        </is>
      </c>
      <c r="D146" s="22" t="inlineStr">
        <is>
          <t>Огурцы</t>
        </is>
      </c>
      <c r="E146" s="22" t="n">
        <v>100</v>
      </c>
      <c r="F146" s="31">
        <f>MIN(1.7,MAX(0.65,'Расчёт'!$B$17/1971.9))</f>
        <v/>
      </c>
      <c r="G146" s="22">
        <f>ROUND(E146*F146/5,0)*5</f>
        <v/>
      </c>
      <c r="H146" s="22">
        <f>ROUND(E146*F146*'Расчёт'!$B$10/5,0)*5</f>
        <v/>
      </c>
      <c r="I146" s="32">
        <f>G146*VLOOKUP($D146,'Продукты'!$A$4:$G$34,2,FALSE)/100</f>
        <v/>
      </c>
      <c r="J146" s="32">
        <f>G146*VLOOKUP($D146,'Продукты'!$A$4:$G$34,3,FALSE)/100</f>
        <v/>
      </c>
      <c r="K146" s="32">
        <f>G146*VLOOKUP($D146,'Продукты'!$A$4:$G$34,4,FALSE)/100</f>
        <v/>
      </c>
      <c r="L146" s="32">
        <f>G146*VLOOKUP($D146,'Продукты'!$A$4:$G$34,5,FALSE)/100</f>
        <v/>
      </c>
    </row>
    <row r="147">
      <c r="A147" s="22" t="inlineStr">
        <is>
          <t>Вс</t>
        </is>
      </c>
      <c r="B147" s="22" t="inlineStr">
        <is>
          <t>Ужин</t>
        </is>
      </c>
      <c r="C147" s="22" t="inlineStr">
        <is>
          <t>Творог с овощами и хлебом</t>
        </is>
      </c>
      <c r="D147" s="22" t="inlineStr">
        <is>
          <t>Помидоры</t>
        </is>
      </c>
      <c r="E147" s="22" t="n">
        <v>100</v>
      </c>
      <c r="F147" s="31">
        <f>MIN(1.7,MAX(0.65,'Расчёт'!$B$17/1971.9))</f>
        <v/>
      </c>
      <c r="G147" s="22">
        <f>ROUND(E147*F147/5,0)*5</f>
        <v/>
      </c>
      <c r="H147" s="22">
        <f>ROUND(E147*F147*'Расчёт'!$B$10/5,0)*5</f>
        <v/>
      </c>
      <c r="I147" s="32">
        <f>G147*VLOOKUP($D147,'Продукты'!$A$4:$G$34,2,FALSE)/100</f>
        <v/>
      </c>
      <c r="J147" s="32">
        <f>G147*VLOOKUP($D147,'Продукты'!$A$4:$G$34,3,FALSE)/100</f>
        <v/>
      </c>
      <c r="K147" s="32">
        <f>G147*VLOOKUP($D147,'Продукты'!$A$4:$G$34,4,FALSE)/100</f>
        <v/>
      </c>
      <c r="L147" s="32">
        <f>G147*VLOOKUP($D147,'Продукты'!$A$4:$G$34,5,FALSE)/100</f>
        <v/>
      </c>
    </row>
    <row r="148">
      <c r="A148" s="22" t="inlineStr">
        <is>
          <t>Вс</t>
        </is>
      </c>
      <c r="B148" s="22" t="inlineStr">
        <is>
          <t>Ужин</t>
        </is>
      </c>
      <c r="C148" s="22" t="inlineStr">
        <is>
          <t>Творог с овощами и хлебом</t>
        </is>
      </c>
      <c r="D148" s="22" t="inlineStr">
        <is>
          <t>Хлеб цельнозерновой/ржаной</t>
        </is>
      </c>
      <c r="E148" s="22" t="n">
        <v>40</v>
      </c>
      <c r="F148" s="31">
        <f>MIN(1.7,MAX(0.65,'Расчёт'!$B$17/1971.9))</f>
        <v/>
      </c>
      <c r="G148" s="22">
        <f>ROUND(E148*F148/5,0)*5</f>
        <v/>
      </c>
      <c r="H148" s="22">
        <f>ROUND(E148*F148*'Расчёт'!$B$10/5,0)*5</f>
        <v/>
      </c>
      <c r="I148" s="32">
        <f>G148*VLOOKUP($D148,'Продукты'!$A$4:$G$34,2,FALSE)/100</f>
        <v/>
      </c>
      <c r="J148" s="32">
        <f>G148*VLOOKUP($D148,'Продукты'!$A$4:$G$34,3,FALSE)/100</f>
        <v/>
      </c>
      <c r="K148" s="32">
        <f>G148*VLOOKUP($D148,'Продукты'!$A$4:$G$34,4,FALSE)/100</f>
        <v/>
      </c>
      <c r="L148" s="32">
        <f>G148*VLOOKUP($D148,'Продукты'!$A$4:$G$34,5,FALSE)/100</f>
        <v/>
      </c>
    </row>
    <row r="149">
      <c r="A149" s="22" t="inlineStr">
        <is>
          <t>Вс</t>
        </is>
      </c>
      <c r="B149" s="22" t="inlineStr">
        <is>
          <t>Ужин</t>
        </is>
      </c>
      <c r="C149" s="22" t="inlineStr">
        <is>
          <t>Творог с овощами и хлебом</t>
        </is>
      </c>
      <c r="D149" s="22" t="inlineStr">
        <is>
          <t>Йогурт натуральный</t>
        </is>
      </c>
      <c r="E149" s="22" t="n">
        <v>50</v>
      </c>
      <c r="F149" s="31">
        <f>MIN(1.7,MAX(0.65,'Расчёт'!$B$17/1971.9))</f>
        <v/>
      </c>
      <c r="G149" s="22">
        <f>ROUND(E149*F149/5,0)*5</f>
        <v/>
      </c>
      <c r="H149" s="22">
        <f>ROUND(E149*F149*'Расчёт'!$B$10/5,0)*5</f>
        <v/>
      </c>
      <c r="I149" s="32">
        <f>G149*VLOOKUP($D149,'Продукты'!$A$4:$G$34,2,FALSE)/100</f>
        <v/>
      </c>
      <c r="J149" s="32">
        <f>G149*VLOOKUP($D149,'Продукты'!$A$4:$G$34,3,FALSE)/100</f>
        <v/>
      </c>
      <c r="K149" s="32">
        <f>G149*VLOOKUP($D149,'Продукты'!$A$4:$G$34,4,FALSE)/100</f>
        <v/>
      </c>
      <c r="L149" s="32">
        <f>G149*VLOOKUP($D149,'Продукты'!$A$4:$G$34,5,FALSE)/100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E6A23C"/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46" customWidth="1" min="8" max="8"/>
    <col width="70" customWidth="1" min="9" max="9"/>
    <col width="46" customWidth="1" min="10" max="10"/>
  </cols>
  <sheetData>
    <row r="1">
      <c r="A1" s="1" t="inlineStr">
        <is>
          <t>Рецепты</t>
        </is>
      </c>
    </row>
    <row r="2">
      <c r="A2" s="2" t="inlineStr">
        <is>
          <t>Продукты даны на 1 порцию (твою). Для жены умножь на долю из листа «Расчёт».</t>
        </is>
      </c>
    </row>
    <row r="4">
      <c r="A4" s="15" t="inlineStr">
        <is>
          <t>Блюдо</t>
        </is>
      </c>
      <c r="B4" s="15" t="inlineStr">
        <is>
          <t>Приём</t>
        </is>
      </c>
      <c r="C4" s="15" t="inlineStr">
        <is>
          <t>Время</t>
        </is>
      </c>
      <c r="D4" s="15" t="inlineStr">
        <is>
          <t>Ккал</t>
        </is>
      </c>
      <c r="E4" s="15" t="inlineStr">
        <is>
          <t>Белок</t>
        </is>
      </c>
      <c r="F4" s="15" t="inlineStr">
        <is>
          <t>Жиры</t>
        </is>
      </c>
      <c r="G4" s="15" t="inlineStr">
        <is>
          <t>Углев.</t>
        </is>
      </c>
      <c r="H4" s="15" t="inlineStr">
        <is>
          <t>Продукты на 1 порцию</t>
        </is>
      </c>
      <c r="I4" s="15" t="inlineStr">
        <is>
          <t>Как готовить</t>
        </is>
      </c>
      <c r="J4" s="15" t="inlineStr">
        <is>
          <t>Совет</t>
        </is>
      </c>
    </row>
    <row r="5" ht="64" customHeight="1">
      <c r="A5" s="35" t="inlineStr">
        <is>
          <t>Овсянка на молоке с бананом</t>
        </is>
      </c>
      <c r="B5" s="16" t="inlineStr">
        <is>
          <t>Завтрак</t>
        </is>
      </c>
      <c r="C5" s="16" t="inlineStr">
        <is>
          <t>10 мин</t>
        </is>
      </c>
      <c r="D5" s="16" t="n">
        <v>515</v>
      </c>
      <c r="E5" s="16" t="n">
        <v>17</v>
      </c>
      <c r="F5" s="16" t="n">
        <v>16</v>
      </c>
      <c r="G5" s="16" t="n">
        <v>73</v>
      </c>
      <c r="H5" s="16" t="inlineStr">
        <is>
          <t>• Овсяные хлопья (сухие): 70 г
• Молоко 2.5%: 200 г
• Бананы (очищенные): 100 г (≈1 шт)
• Грецкие орехи: 10 г</t>
        </is>
      </c>
      <c r="I5" s="16" t="inlineStr">
        <is>
          <t>1. Залей хлопья горячим молоком, вари 5–7 минут на слабом огне.
2. Нарежь банан, добавь в тарелку, сверху крошёные орехи.
3. Для двоих вари в одной кастрюле: хлопья и молоко умножь на 2.</t>
        </is>
      </c>
      <c r="J5" s="16" t="inlineStr">
        <is>
          <t>Не сладкая, потому что вся сладость от банана. Сахар и сиропы не добавляй.</t>
        </is>
      </c>
    </row>
    <row r="6" ht="80" customHeight="1">
      <c r="A6" s="35" t="inlineStr">
        <is>
          <t>Омлет с овощами и хлебом</t>
        </is>
      </c>
      <c r="B6" s="16" t="inlineStr">
        <is>
          <t>Завтрак/ужин</t>
        </is>
      </c>
      <c r="C6" s="16" t="inlineStr">
        <is>
          <t>10 мин</t>
        </is>
      </c>
      <c r="D6" s="16" t="n">
        <v>414</v>
      </c>
      <c r="E6" s="16" t="n">
        <v>25</v>
      </c>
      <c r="F6" s="16" t="n">
        <v>25</v>
      </c>
      <c r="G6" s="16" t="n">
        <v>23</v>
      </c>
      <c r="H6" s="16" t="inlineStr">
        <is>
          <t>• Яйцо: 165 г (≈3 шт)
• Помидоры: 80 г
• Лук репчатый: 20 г
• Масло растительное: 5 г
• Хлеб цельнозерновой/ржаной: 40 г</t>
        </is>
      </c>
      <c r="I6" s="16" t="inlineStr">
        <is>
          <t>1. Взбей яйца вилкой с щепоткой соли.
2. Лук и помидор нарежь, быстро обжарь на масле 2–3 минуты.
3. Залей яйцами, накрой крышкой на 4–5 минут на слабом огне.
4. Подавай с куском хлеба.</t>
        </is>
      </c>
      <c r="J6" s="16" t="inlineStr">
        <is>
          <t>3 яйца на порцию. Если боишься холестерина, возьми 2 яйца и добавь 100 г творога сбоку.</t>
        </is>
      </c>
    </row>
    <row r="7" ht="80" customHeight="1">
      <c r="A7" s="35" t="inlineStr">
        <is>
          <t>Яйца вкрутую, хлеб, творог, овощи</t>
        </is>
      </c>
      <c r="B7" s="16" t="inlineStr">
        <is>
          <t>Завтрак</t>
        </is>
      </c>
      <c r="C7" s="16" t="inlineStr">
        <is>
          <t>12 мин</t>
        </is>
      </c>
      <c r="D7" s="16" t="n">
        <v>436</v>
      </c>
      <c r="E7" s="16" t="n">
        <v>36</v>
      </c>
      <c r="F7" s="16" t="n">
        <v>19</v>
      </c>
      <c r="G7" s="16" t="n">
        <v>31</v>
      </c>
      <c r="H7" s="16" t="inlineStr">
        <is>
          <t>• Яйцо: 110 г (≈2 шт)
• Хлеб цельнозерновой/ржаной: 50 г
• Творог 5%: 100 г
• Огурцы: 100 г
• Помидоры: 100 г</t>
        </is>
      </c>
      <c r="I7" s="16" t="inlineStr">
        <is>
          <t>1. Яйца вари 9 минут с момента закипания, остуди под холодной водой.
2. Творог намажь на хлеб, сверху овощи ломтиками.
3. Яйца подавай рядом.</t>
        </is>
      </c>
      <c r="J7" s="16" t="inlineStr">
        <is>
          <t>Быстрый завтрак. Яйца можно сварить сразу на 3 дня и хранить в холодильнике.</t>
        </is>
      </c>
    </row>
    <row r="8" ht="64" customHeight="1">
      <c r="A8" s="35" t="inlineStr">
        <is>
          <t>Пшённая каша на молоке с яблоком</t>
        </is>
      </c>
      <c r="B8" s="16" t="inlineStr">
        <is>
          <t>Завтрак</t>
        </is>
      </c>
      <c r="C8" s="16" t="inlineStr">
        <is>
          <t>25 мин</t>
        </is>
      </c>
      <c r="D8" s="16" t="n">
        <v>488</v>
      </c>
      <c r="E8" s="16" t="n">
        <v>28</v>
      </c>
      <c r="F8" s="16" t="n">
        <v>13</v>
      </c>
      <c r="G8" s="16" t="n">
        <v>66</v>
      </c>
      <c r="H8" s="16" t="inlineStr">
        <is>
          <t>• Пшено (сухое): 60 г
• Молоко 2.5%: 250 г
• Яблоки: 120 г (≈1 шт)
• Творог 5%: 80 г</t>
        </is>
      </c>
      <c r="I8" s="16" t="inlineStr">
        <is>
          <t>1. Пшено промой горячей водой 2–3 раза, чтобы ушла горечь.
2. Залей молоком и половиной стакана воды, вари 20 минут, помешивая.
3. Добавь тёртое яблоко и сверху ложку творога.</t>
        </is>
      </c>
      <c r="J8" s="16" t="inlineStr">
        <is>
          <t>Дешёвая каша, долго держит сытость.</t>
        </is>
      </c>
    </row>
    <row r="9" ht="64" customHeight="1">
      <c r="A9" s="35" t="inlineStr">
        <is>
          <t>Овсянка с йогуртом и яблоком</t>
        </is>
      </c>
      <c r="B9" s="16" t="inlineStr">
        <is>
          <t>Завтрак</t>
        </is>
      </c>
      <c r="C9" s="16" t="inlineStr">
        <is>
          <t>10 мин</t>
        </is>
      </c>
      <c r="D9" s="16" t="n">
        <v>514</v>
      </c>
      <c r="E9" s="16" t="n">
        <v>32</v>
      </c>
      <c r="F9" s="16" t="n">
        <v>15</v>
      </c>
      <c r="G9" s="16" t="n">
        <v>62</v>
      </c>
      <c r="H9" s="16" t="inlineStr">
        <is>
          <t>• Овсяные хлопья (сухие): 70 г
• Йогурт натуральный: 150 г
• Яблоки: 100 г (≈1 шт)
• Творог 5%: 100 г</t>
        </is>
      </c>
      <c r="I9" s="16" t="inlineStr">
        <is>
          <t>1. Залей хлопья кипятком на 5 минут, слей лишнюю воду.
2. Смешай с йогуртом, добавь яблоко кубиками.
3. Творог подай отдельно или смешай.</t>
        </is>
      </c>
      <c r="J9" s="16" t="inlineStr">
        <is>
          <t>Можно сделать с вечера: залить хлопья йогуртом и оставить в холодильнике.</t>
        </is>
      </c>
    </row>
    <row r="10" ht="96" customHeight="1">
      <c r="A10" s="35" t="inlineStr">
        <is>
          <t>Гречка с тушёной курицей и капустой</t>
        </is>
      </c>
      <c r="B10" s="16" t="inlineStr">
        <is>
          <t>Обед</t>
        </is>
      </c>
      <c r="C10" s="16" t="inlineStr">
        <is>
          <t>35 мин</t>
        </is>
      </c>
      <c r="D10" s="16" t="n">
        <v>581</v>
      </c>
      <c r="E10" s="16" t="n">
        <v>45</v>
      </c>
      <c r="F10" s="16" t="n">
        <v>19</v>
      </c>
      <c r="G10" s="16" t="n">
        <v>56</v>
      </c>
      <c r="H10" s="16" t="inlineStr">
        <is>
          <t>• Гречка (сухая): 70 г
• Куриные бёдра/голень без кожи: 170 г
• Капуста белокочанная: 150 г
• Морковь: 40 г
• Лук репчатый: 30 г
• Масло растительное: 5 г</t>
        </is>
      </c>
      <c r="I10" s="16" t="inlineStr">
        <is>
          <t>1. Гречку промой, залей водой 1:2, вари под крышкой 15 минут.
2. Лук и морковь обжарь 3 минуты на масле, добавь кусочки курицы.
3. Добавь капусту, немного воды, туши под крышкой 15–20 минут.
4. Подавай вместе.</t>
        </is>
      </c>
      <c r="J10" s="16" t="inlineStr">
        <is>
          <t>Готовь сразу на 2 дня: курицу с капустой можно разогревать.</t>
        </is>
      </c>
    </row>
    <row r="11" ht="96" customHeight="1">
      <c r="A11" s="35" t="inlineStr">
        <is>
          <t>Рис с запечёнными бёдрами и овощами</t>
        </is>
      </c>
      <c r="B11" s="16" t="inlineStr">
        <is>
          <t>Обед/ужин</t>
        </is>
      </c>
      <c r="C11" s="16" t="inlineStr">
        <is>
          <t>45 мин</t>
        </is>
      </c>
      <c r="D11" s="16" t="n">
        <v>579</v>
      </c>
      <c r="E11" s="16" t="n">
        <v>41</v>
      </c>
      <c r="F11" s="16" t="n">
        <v>17</v>
      </c>
      <c r="G11" s="16" t="n">
        <v>64</v>
      </c>
      <c r="H11" s="16" t="inlineStr">
        <is>
          <t>• Рис (сухой): 70 г
• Куриные бёдра/голень без кожи: 180 г
• Морковь: 50 г
• Лук репчатый: 30 г
• Помидоры: 100 г
• Масло растительное: 5 г</t>
        </is>
      </c>
      <c r="I11" s="16" t="inlineStr">
        <is>
          <t>1. Бёдра сними с кожи, посоли, добавь паприку или чеснок.
2. Выложи на противень с морковью и луком, запекай 35 минут при 200 °C.
3. Рис свари отдельно 15 минут (вода 1:2).
4. Помидоры нарежь свежими в тарелку.</t>
        </is>
      </c>
      <c r="J11" s="16" t="inlineStr">
        <is>
          <t>Кожа даёт лишние 100–150 ккал, поэтому её снимаем.</t>
        </is>
      </c>
    </row>
    <row r="12" ht="96" customHeight="1">
      <c r="A12" s="35" t="inlineStr">
        <is>
          <t>Перловка с курицей и овощами</t>
        </is>
      </c>
      <c r="B12" s="16" t="inlineStr">
        <is>
          <t>Обед/ужин</t>
        </is>
      </c>
      <c r="C12" s="16" t="inlineStr">
        <is>
          <t>50 мин</t>
        </is>
      </c>
      <c r="D12" s="16" t="n">
        <v>548</v>
      </c>
      <c r="E12" s="16" t="n">
        <v>41</v>
      </c>
      <c r="F12" s="16" t="n">
        <v>17</v>
      </c>
      <c r="G12" s="16" t="n">
        <v>61</v>
      </c>
      <c r="H12" s="16" t="inlineStr">
        <is>
          <t>• Перловка (сухая): 70 г
• Куриные бёдра/голень без кожи: 170 г
• Морковь: 50 г
• Лук репчатый: 40 г
• Помидоры: 80 г
• Масло растительное: 5 г</t>
        </is>
      </c>
      <c r="I12" s="16" t="inlineStr">
        <is>
          <t>1. Перловку замочи на 2–3 часа или на ночь, вари 35–40 минут.
2. Курицу, лук и морковь потуши 20 минут с водой.
3. Смешай с кашей, добавь томаты.</t>
        </is>
      </c>
      <c r="J12" s="16" t="inlineStr">
        <is>
          <t>Самая дешёвая крупа. Замачивание сильно ускоряет варку.</t>
        </is>
      </c>
    </row>
    <row r="13" ht="80" customHeight="1">
      <c r="A13" s="35" t="inlineStr">
        <is>
          <t>Минтай с картофелем, запечённые</t>
        </is>
      </c>
      <c r="B13" s="16" t="inlineStr">
        <is>
          <t>Обед/ужин</t>
        </is>
      </c>
      <c r="C13" s="16" t="inlineStr">
        <is>
          <t>40 мин</t>
        </is>
      </c>
      <c r="D13" s="16" t="n">
        <v>490</v>
      </c>
      <c r="E13" s="16" t="n">
        <v>41</v>
      </c>
      <c r="F13" s="16" t="n">
        <v>11</v>
      </c>
      <c r="G13" s="16" t="n">
        <v>53</v>
      </c>
      <c r="H13" s="16" t="inlineStr">
        <is>
          <t>• Белая рыба (минтай, хек): 200 г
• Картофель: 300 г
• Масло растительное: 8 г
• Лук репчатый: 30 г
• Огурцы: 100 г</t>
        </is>
      </c>
      <c r="I13" s="16" t="inlineStr">
        <is>
          <t>1. Картофель нарежь дольками, смешай с маслом и солью, запекай 20 минут при 200 °C.
2. Добавь рыбу и лук, запекай ещё 15 минут.
3. Огурец подай свежим.</t>
        </is>
      </c>
      <c r="J13" s="16" t="inlineStr">
        <is>
          <t>Минтай дешёвый и постный. Размораживай в холодильнике, не в горячей воде.</t>
        </is>
      </c>
    </row>
    <row r="14" ht="80" customHeight="1">
      <c r="A14" s="35" t="inlineStr">
        <is>
          <t>Красная рыба с картофелем (раз в неделю)</t>
        </is>
      </c>
      <c r="B14" s="16" t="inlineStr">
        <is>
          <t>Обед/ужин</t>
        </is>
      </c>
      <c r="C14" s="16" t="inlineStr">
        <is>
          <t>30 мин</t>
        </is>
      </c>
      <c r="D14" s="16" t="n">
        <v>476</v>
      </c>
      <c r="E14" s="16" t="n">
        <v>37</v>
      </c>
      <c r="F14" s="16" t="n">
        <v>16</v>
      </c>
      <c r="G14" s="16" t="n">
        <v>45</v>
      </c>
      <c r="H14" s="16" t="inlineStr">
        <is>
          <t>• Красная рыба (горбуша, форель): 150 г
• Картофель: 250 г
• Масло растительное: 3 г
• Огурцы: 100 г
• Помидоры: 80 г</t>
        </is>
      </c>
      <c r="I14" s="16" t="inlineStr">
        <is>
          <t>1. Рыбу посоли, сбрызни лимоном, заверни в фольгу.
2. Запекай 20 минут при 200 °C вместе с картофелем.
3. Подавай с овощами.</t>
        </is>
      </c>
      <c r="J14" s="16" t="inlineStr">
        <is>
          <t>Жирные омега-3 полезны для суставов и сердца. Одного раза в неделю достаточно.</t>
        </is>
      </c>
    </row>
    <row r="15" ht="96" customHeight="1">
      <c r="A15" s="35" t="inlineStr">
        <is>
          <t>Чечевица с курицей</t>
        </is>
      </c>
      <c r="B15" s="16" t="inlineStr">
        <is>
          <t>Обед</t>
        </is>
      </c>
      <c r="C15" s="16" t="inlineStr">
        <is>
          <t>35 мин</t>
        </is>
      </c>
      <c r="D15" s="16" t="n">
        <v>500</v>
      </c>
      <c r="E15" s="16" t="n">
        <v>47</v>
      </c>
      <c r="F15" s="16" t="n">
        <v>16</v>
      </c>
      <c r="G15" s="16" t="n">
        <v>42</v>
      </c>
      <c r="H15" s="16" t="inlineStr">
        <is>
          <t>• Чечевица (сухая): 70 г
• Куриные бёдра/голень без кожи: 150 г
• Морковь: 50 г
• Лук репчатый: 40 г
• Томатная паста: 15 г
• Масло растительное: 5 г</t>
        </is>
      </c>
      <c r="I15" s="16" t="inlineStr">
        <is>
          <t>1. Чечевицу промой, вари 20 минут без замачивания.
2. Лук с морковью обжарь с томатной пастой 3 минуты.
3. Добавь курицу кусочками, туши 12 минут, смешай с чечевицей.</t>
        </is>
      </c>
      <c r="J15" s="16" t="inlineStr">
        <is>
          <t>Бобовые дают клетчатку и белок за копейки.</t>
        </is>
      </c>
    </row>
    <row r="16" ht="96" customHeight="1">
      <c r="A16" s="35" t="inlineStr">
        <is>
          <t>Макароны с куриным фаршем и томатом</t>
        </is>
      </c>
      <c r="B16" s="16" t="inlineStr">
        <is>
          <t>Обед/ужин</t>
        </is>
      </c>
      <c r="C16" s="16" t="inlineStr">
        <is>
          <t>30 мин</t>
        </is>
      </c>
      <c r="D16" s="16" t="n">
        <v>574</v>
      </c>
      <c r="E16" s="16" t="n">
        <v>38</v>
      </c>
      <c r="F16" s="16" t="n">
        <v>16</v>
      </c>
      <c r="G16" s="16" t="n">
        <v>68</v>
      </c>
      <c r="H16" s="16" t="inlineStr">
        <is>
          <t>• Макароны (сухие): 80 г
• Куриный фарш: 150 г
• Лук репчатый: 40 г
• Томатная паста: 20 г
• Помидоры: 100 г
• Масло растительное: 3 г</t>
        </is>
      </c>
      <c r="I16" s="16" t="inlineStr">
        <is>
          <t>1. Лук обжарь, добавь фарш и жарь 8 минут, разбивая комочки.
2. Добавь томатную пасту, помидоры и немного воды, туши 10 минут.
3. Макароны вари на 1 минуту меньше, чем на пачке.</t>
        </is>
      </c>
      <c r="J16" s="16" t="inlineStr">
        <is>
          <t>Макароны выбирай из твёрдых сортов (на упаковке «группа А»).</t>
        </is>
      </c>
    </row>
    <row r="17" ht="64" customHeight="1">
      <c r="A17" s="35" t="inlineStr">
        <is>
          <t>Творожная запеканка с бананом</t>
        </is>
      </c>
      <c r="B17" s="16" t="inlineStr">
        <is>
          <t>Ужин/перекус</t>
        </is>
      </c>
      <c r="C17" s="16" t="inlineStr">
        <is>
          <t>35 мин</t>
        </is>
      </c>
      <c r="D17" s="16" t="n">
        <v>528</v>
      </c>
      <c r="E17" s="16" t="n">
        <v>46</v>
      </c>
      <c r="F17" s="16" t="n">
        <v>18</v>
      </c>
      <c r="G17" s="16" t="n">
        <v>45</v>
      </c>
      <c r="H17" s="16" t="inlineStr">
        <is>
          <t>• Творог 5%: 200 г
• Яйцо: 55 г (≈1 шт)
• Овсяные хлопья (сухие): 30 г
• Бананы (очищенные): 100 г (≈1 шт)</t>
        </is>
      </c>
      <c r="I17" s="16" t="inlineStr">
        <is>
          <t>1. Разомни творог с яйцом и размолотыми хлопьями.
2. Добавь банан, разомнённый вилкой.
3. Выпекай 25 минут при 180 °C в форме или силиконовых формочках.</t>
        </is>
      </c>
      <c r="J17" s="16" t="inlineStr">
        <is>
          <t>Заменяет сладкое. Из 4 порций можно испечь сразу на два дня.</t>
        </is>
      </c>
    </row>
    <row r="18" ht="96" customHeight="1">
      <c r="A18" s="35" t="inlineStr">
        <is>
          <t>Куриный суп с картофелем и пшеном</t>
        </is>
      </c>
      <c r="B18" s="16" t="inlineStr">
        <is>
          <t>Обед</t>
        </is>
      </c>
      <c r="C18" s="16" t="inlineStr">
        <is>
          <t>45 мин</t>
        </is>
      </c>
      <c r="D18" s="16" t="n">
        <v>547</v>
      </c>
      <c r="E18" s="16" t="n">
        <v>41</v>
      </c>
      <c r="F18" s="16" t="n">
        <v>16</v>
      </c>
      <c r="G18" s="16" t="n">
        <v>59</v>
      </c>
      <c r="H18" s="16" t="inlineStr">
        <is>
          <t>• Куриные бёдра/голень без кожи: 170 г
• Картофель: 200 г
• Пшено (сухое): 30 г
• Морковь: 50 г
• Лук репчатый: 40 г
• Масло растительное: 3 г</t>
        </is>
      </c>
      <c r="I18" s="16" t="inlineStr">
        <is>
          <t>1. Курицу залей 1,5 л воды, вари 25 минут, сними пену.
2. Добавь картофель кубиками и пшено, через 10 минут морковь и лук.
3. Вари до готовности картофеля, посоли, добавь зелень.</t>
        </is>
      </c>
      <c r="J18" s="16" t="inlineStr">
        <is>
          <t>Кастрюля на 3 литра хватает на 4–5 порций.</t>
        </is>
      </c>
    </row>
    <row r="19" ht="80" customHeight="1">
      <c r="A19" s="35" t="inlineStr">
        <is>
          <t>Салат айсберг с яйцом и йогуртом</t>
        </is>
      </c>
      <c r="B19" s="16" t="inlineStr">
        <is>
          <t>К обеду/ужину</t>
        </is>
      </c>
      <c r="C19" s="16" t="inlineStr">
        <is>
          <t>10 мин</t>
        </is>
      </c>
      <c r="D19" s="16" t="n">
        <v>173</v>
      </c>
      <c r="E19" s="16" t="n">
        <v>11</v>
      </c>
      <c r="F19" s="16" t="n">
        <v>11</v>
      </c>
      <c r="G19" s="16" t="n">
        <v>9</v>
      </c>
      <c r="H19" s="16" t="inlineStr">
        <is>
          <t>• Салат айсберг: 150 г
• Огурцы: 100 г
• Яйцо: 55 г (≈1 шт)
• Йогурт натуральный: 40 г
• Масло растительное: 3 г</t>
        </is>
      </c>
      <c r="I19" s="16" t="inlineStr">
        <is>
          <t>1. Айсберг порви руками, огурец нарежь полукольцами.
2. Яйцо вари вкрутую, нарежь дольками.
3. Заправь йогуртом с каплей масла и солью.</t>
        </is>
      </c>
      <c r="J19" s="16" t="inlineStr">
        <is>
          <t>Айсберг не заправляй майонезом, соус из йогурта даёт ту же сочность.</t>
        </is>
      </c>
    </row>
    <row r="20" ht="60" customHeight="1">
      <c r="A20" s="35" t="inlineStr">
        <is>
          <t>Капустный салат</t>
        </is>
      </c>
      <c r="B20" s="16" t="inlineStr">
        <is>
          <t>К обеду/ужину</t>
        </is>
      </c>
      <c r="C20" s="16" t="inlineStr">
        <is>
          <t>7 мин</t>
        </is>
      </c>
      <c r="D20" s="16" t="n">
        <v>128</v>
      </c>
      <c r="E20" s="16" t="n">
        <v>3</v>
      </c>
      <c r="F20" s="16" t="n">
        <v>8</v>
      </c>
      <c r="G20" s="16" t="n">
        <v>10</v>
      </c>
      <c r="H20" s="16" t="inlineStr">
        <is>
          <t>• Капуста белокочанная: 150 г
• Морковь: 40 г
• Масло растительное: 8 г</t>
        </is>
      </c>
      <c r="I20" s="16" t="inlineStr">
        <is>
          <t>1. Капусту нашинкуй, посоли и помни руками минуту.
2. Добавь тёртую морковь и масло.</t>
        </is>
      </c>
      <c r="J20" s="16" t="inlineStr">
        <is>
          <t>Дешёвая клетчатка. Хранится в холодильнике 2–3 дня.</t>
        </is>
      </c>
    </row>
    <row r="21" ht="60" customHeight="1">
      <c r="A21" s="35" t="inlineStr">
        <is>
          <t>Творог с яблоком</t>
        </is>
      </c>
      <c r="B21" s="16" t="inlineStr">
        <is>
          <t>Перекус</t>
        </is>
      </c>
      <c r="C21" s="16" t="inlineStr">
        <is>
          <t>3 мин</t>
        </is>
      </c>
      <c r="D21" s="16" t="n">
        <v>252</v>
      </c>
      <c r="E21" s="16" t="n">
        <v>26</v>
      </c>
      <c r="F21" s="16" t="n">
        <v>8</v>
      </c>
      <c r="G21" s="16" t="n">
        <v>20</v>
      </c>
      <c r="H21" s="16" t="inlineStr">
        <is>
          <t>• Творог 5%: 150 г
• Яблоки: 150 г (≈1 шт)</t>
        </is>
      </c>
      <c r="I21" s="16" t="inlineStr">
        <is>
          <t>1. Яблоко нарежь, добавь к творогу, при желании ложка йогурта.</t>
        </is>
      </c>
      <c r="J21" s="16" t="inlineStr">
        <is>
          <t>Белковый перекус после тренировки или между приёмами пищи.</t>
        </is>
      </c>
    </row>
    <row r="22" ht="60" customHeight="1">
      <c r="A22" s="35" t="inlineStr">
        <is>
          <t>Кефир с бананом</t>
        </is>
      </c>
      <c r="B22" s="16" t="inlineStr">
        <is>
          <t>Перекус</t>
        </is>
      </c>
      <c r="C22" s="16" t="inlineStr">
        <is>
          <t>3 мин</t>
        </is>
      </c>
      <c r="D22" s="16" t="n">
        <v>284</v>
      </c>
      <c r="E22" s="16" t="n">
        <v>13</v>
      </c>
      <c r="F22" s="16" t="n">
        <v>4</v>
      </c>
      <c r="G22" s="16" t="n">
        <v>48</v>
      </c>
      <c r="H22" s="16" t="inlineStr">
        <is>
          <t>• Кефир 1%: 300 г
• Бананы (очищенные): 110 г (≈1 шт)
• Хлеб цельнозерновой/ржаной: 30 г</t>
        </is>
      </c>
      <c r="I22" s="16" t="inlineStr">
        <is>
          <t>1. Банан разомни и смешай с кефиром или взбей блендером.
2. Подай с куском хлеба.</t>
        </is>
      </c>
      <c r="J22" s="16" t="inlineStr">
        <is>
          <t>Хорошо идёт за 30–60 минут до тренировки.</t>
        </is>
      </c>
    </row>
    <row r="23" ht="80" customHeight="1">
      <c r="A23" s="35" t="inlineStr">
        <is>
          <t>Творог с овощами и хлебом</t>
        </is>
      </c>
      <c r="B23" s="16" t="inlineStr">
        <is>
          <t>Ужин</t>
        </is>
      </c>
      <c r="C23" s="16" t="inlineStr">
        <is>
          <t>5 мин</t>
        </is>
      </c>
      <c r="D23" s="16" t="n">
        <v>454</v>
      </c>
      <c r="E23" s="16" t="n">
        <v>49</v>
      </c>
      <c r="F23" s="16" t="n">
        <v>15</v>
      </c>
      <c r="G23" s="16" t="n">
        <v>33</v>
      </c>
      <c r="H23" s="16" t="inlineStr">
        <is>
          <t>• Творог 5%: 250 г
• Огурцы: 100 г
• Помидоры: 100 г
• Хлеб цельнозерновой/ржаной: 40 г
• Йогурт натуральный: 50 г</t>
        </is>
      </c>
      <c r="I23" s="16" t="inlineStr">
        <is>
          <t>1. Творог смешай с йогуртом, добавь соль и зелень.
2. Овощи нарежь крупно.
3. Подай с хлебом.</t>
        </is>
      </c>
      <c r="J23" s="16" t="inlineStr">
        <is>
          <t>Лёгкий ужин, в котором почти нет жира.</t>
        </is>
      </c>
    </row>
    <row r="24" ht="96" customHeight="1">
      <c r="A24" s="35" t="inlineStr">
        <is>
          <t>Курица в кефире с картофелем</t>
        </is>
      </c>
      <c r="B24" s="16" t="inlineStr">
        <is>
          <t>Обед/ужин</t>
        </is>
      </c>
      <c r="C24" s="16" t="inlineStr">
        <is>
          <t>50 мин</t>
        </is>
      </c>
      <c r="D24" s="16" t="n">
        <v>484</v>
      </c>
      <c r="E24" s="16" t="n">
        <v>47</v>
      </c>
      <c r="F24" s="16" t="n">
        <v>8</v>
      </c>
      <c r="G24" s="16" t="n">
        <v>51</v>
      </c>
      <c r="H24" s="16" t="inlineStr">
        <is>
          <t>• Куриная грудка: 160 г
• Кефир 1%: 100 г
• Картофель: 250 г
• Лук репчатый: 30 г
• Масло растительное: 3 г
• Капуста белокочанная: 100 г</t>
        </is>
      </c>
      <c r="I24" s="16" t="inlineStr">
        <is>
          <t>1. Грудку нарежь кусочками, залей кефиром с солью и перцем на 30 минут.
2. Картофель и лук нарежь, выложи в форму, сверху курицу вместе с кефиром.
3. Запекай под фольгой 35 минут при 190 °C.
4. Подай со свежей капустой.</t>
        </is>
      </c>
      <c r="J24" s="16" t="inlineStr">
        <is>
          <t>Кефирный маринад делает грудку мягкой, а не сухой.</t>
        </is>
      </c>
    </row>
    <row r="25" ht="96" customHeight="1">
      <c r="A25" s="35" t="inlineStr">
        <is>
          <t>Гречка с яйцами и овощами</t>
        </is>
      </c>
      <c r="B25" s="16" t="inlineStr">
        <is>
          <t>Ужин</t>
        </is>
      </c>
      <c r="C25" s="16" t="inlineStr">
        <is>
          <t>25 мин</t>
        </is>
      </c>
      <c r="D25" s="16" t="n">
        <v>578</v>
      </c>
      <c r="E25" s="16" t="n">
        <v>40</v>
      </c>
      <c r="F25" s="16" t="n">
        <v>25</v>
      </c>
      <c r="G25" s="16" t="n">
        <v>47</v>
      </c>
      <c r="H25" s="16" t="inlineStr">
        <is>
          <t>• Гречка (сухая): 60 г
• Яйцо: 110 г (≈2 шт)
• Помидоры: 100 г
• Огурцы: 100 г
• Масло растительное: 5 г
• Творог 5%: 100 г</t>
        </is>
      </c>
      <c r="I25" s="16" t="inlineStr">
        <is>
          <t>1. Гречку свари 15 минут.
2. Яйца пожарь глазуньей или вари вкрутую.
3. Подай с овощами и творогом на гарнир.</t>
        </is>
      </c>
      <c r="J25" s="16" t="inlineStr">
        <is>
          <t>Быстрый ужин после тренировки.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A23C"/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20" customWidth="1" min="3" max="3"/>
    <col width="12" customWidth="1" min="4" max="4"/>
    <col width="12" customWidth="1" min="5" max="5"/>
    <col width="11" customWidth="1" min="6" max="6"/>
  </cols>
  <sheetData>
    <row r="1">
      <c r="A1" s="1" t="inlineStr">
        <is>
          <t>Список покупок на неделю на двоих</t>
        </is>
      </c>
    </row>
    <row r="2">
      <c r="A2" s="2" t="inlineStr">
        <is>
          <t>Считается из листа «Меню»: твои граммы плюс граммы жены, запас 5%. Цену за кг можно поменять на листе «Продукты».</t>
        </is>
      </c>
    </row>
    <row r="4">
      <c r="A4" s="15" t="inlineStr">
        <is>
          <t>Продукт</t>
        </is>
      </c>
      <c r="B4" s="15" t="inlineStr">
        <is>
          <t>Нужно, кг</t>
        </is>
      </c>
      <c r="C4" s="15" t="inlineStr">
        <is>
          <t>Штук (если считается)</t>
        </is>
      </c>
      <c r="D4" s="15" t="inlineStr">
        <is>
          <t>Цена, ₽/кг</t>
        </is>
      </c>
      <c r="E4" s="15" t="inlineStr">
        <is>
          <t>Сумма, ₽</t>
        </is>
      </c>
      <c r="F4" s="15" t="inlineStr">
        <is>
          <t>Куплено</t>
        </is>
      </c>
    </row>
    <row r="5">
      <c r="A5" s="22" t="inlineStr">
        <is>
          <t>Бананы (очищенные)</t>
        </is>
      </c>
      <c r="B5" s="31">
        <f>(SUMIFS('Меню'!$G$5:$G$149,'Меню'!$D$5:$D$149,A5)+SUMIFS('Меню'!$H$5:$H$149,'Меню'!$D$5:$D$149,A5))*1.05/1000</f>
        <v/>
      </c>
      <c r="C5" s="22">
        <f>IF('Продукты'!G29&gt;0,ROUNDUP(B5*1000/'Продукты'!G29,0),"")</f>
        <v/>
      </c>
      <c r="D5" s="22">
        <f>'Продукты'!F29</f>
        <v/>
      </c>
      <c r="E5" s="36">
        <f>B5*D5</f>
        <v/>
      </c>
      <c r="F5" s="6" t="n"/>
    </row>
    <row r="6">
      <c r="A6" s="22" t="inlineStr">
        <is>
          <t>Белая рыба (минтай, хек)</t>
        </is>
      </c>
      <c r="B6" s="31">
        <f>(SUMIFS('Меню'!$G$5:$G$149,'Меню'!$D$5:$D$149,A6)+SUMIFS('Меню'!$H$5:$H$149,'Меню'!$D$5:$D$149,A6))*1.05/1000</f>
        <v/>
      </c>
      <c r="C6" s="22">
        <f>IF('Продукты'!G15&gt;0,ROUNDUP(B6*1000/'Продукты'!G15,0),"")</f>
        <v/>
      </c>
      <c r="D6" s="22">
        <f>'Продукты'!F15</f>
        <v/>
      </c>
      <c r="E6" s="36">
        <f>B6*D6</f>
        <v/>
      </c>
      <c r="F6" s="6" t="n"/>
    </row>
    <row r="7">
      <c r="A7" s="22" t="inlineStr">
        <is>
          <t>Грецкие орехи</t>
        </is>
      </c>
      <c r="B7" s="31">
        <f>(SUMIFS('Меню'!$G$5:$G$149,'Меню'!$D$5:$D$149,A7)+SUMIFS('Меню'!$H$5:$H$149,'Меню'!$D$5:$D$149,A7))*1.05/1000</f>
        <v/>
      </c>
      <c r="C7" s="22">
        <f>IF('Продукты'!G33&gt;0,ROUNDUP(B7*1000/'Продукты'!G33,0),"")</f>
        <v/>
      </c>
      <c r="D7" s="22">
        <f>'Продукты'!F33</f>
        <v/>
      </c>
      <c r="E7" s="36">
        <f>B7*D7</f>
        <v/>
      </c>
      <c r="F7" s="6" t="n"/>
    </row>
    <row r="8">
      <c r="A8" s="22" t="inlineStr">
        <is>
          <t>Гречка (сухая)</t>
        </is>
      </c>
      <c r="B8" s="31">
        <f>(SUMIFS('Меню'!$G$5:$G$149,'Меню'!$D$5:$D$149,A8)+SUMIFS('Меню'!$H$5:$H$149,'Меню'!$D$5:$D$149,A8))*1.05/1000</f>
        <v/>
      </c>
      <c r="C8" s="22">
        <f>IF('Продукты'!G5&gt;0,ROUNDUP(B8*1000/'Продукты'!G5,0),"")</f>
        <v/>
      </c>
      <c r="D8" s="22">
        <f>'Продукты'!F5</f>
        <v/>
      </c>
      <c r="E8" s="36">
        <f>B8*D8</f>
        <v/>
      </c>
      <c r="F8" s="6" t="n"/>
    </row>
    <row r="9">
      <c r="A9" s="22" t="inlineStr">
        <is>
          <t>Йогурт натуральный</t>
        </is>
      </c>
      <c r="B9" s="31">
        <f>(SUMIFS('Меню'!$G$5:$G$149,'Меню'!$D$5:$D$149,A9)+SUMIFS('Меню'!$H$5:$H$149,'Меню'!$D$5:$D$149,A9))*1.05/1000</f>
        <v/>
      </c>
      <c r="C9" s="22">
        <f>IF('Продукты'!G19&gt;0,ROUNDUP(B9*1000/'Продукты'!G19,0),"")</f>
        <v/>
      </c>
      <c r="D9" s="22">
        <f>'Продукты'!F19</f>
        <v/>
      </c>
      <c r="E9" s="36">
        <f>B9*D9</f>
        <v/>
      </c>
      <c r="F9" s="6" t="n"/>
    </row>
    <row r="10">
      <c r="A10" s="22" t="inlineStr">
        <is>
          <t>Капуста белокочанная</t>
        </is>
      </c>
      <c r="B10" s="31">
        <f>(SUMIFS('Меню'!$G$5:$G$149,'Меню'!$D$5:$D$149,A10)+SUMIFS('Меню'!$H$5:$H$149,'Меню'!$D$5:$D$149,A10))*1.05/1000</f>
        <v/>
      </c>
      <c r="C10" s="22">
        <f>IF('Продукты'!G24&gt;0,ROUNDUP(B10*1000/'Продукты'!G24,0),"")</f>
        <v/>
      </c>
      <c r="D10" s="22">
        <f>'Продукты'!F24</f>
        <v/>
      </c>
      <c r="E10" s="36">
        <f>B10*D10</f>
        <v/>
      </c>
      <c r="F10" s="6" t="n"/>
    </row>
    <row r="11">
      <c r="A11" s="22" t="inlineStr">
        <is>
          <t>Картофель</t>
        </is>
      </c>
      <c r="B11" s="31">
        <f>(SUMIFS('Меню'!$G$5:$G$149,'Меню'!$D$5:$D$149,A11)+SUMIFS('Меню'!$H$5:$H$149,'Меню'!$D$5:$D$149,A11))*1.05/1000</f>
        <v/>
      </c>
      <c r="C11" s="22">
        <f>IF('Продукты'!G10&gt;0,ROUNDUP(B11*1000/'Продукты'!G10,0),"")</f>
        <v/>
      </c>
      <c r="D11" s="22">
        <f>'Продукты'!F10</f>
        <v/>
      </c>
      <c r="E11" s="36">
        <f>B11*D11</f>
        <v/>
      </c>
      <c r="F11" s="6" t="n"/>
    </row>
    <row r="12">
      <c r="A12" s="22" t="inlineStr">
        <is>
          <t>Кефир 1%</t>
        </is>
      </c>
      <c r="B12" s="31">
        <f>(SUMIFS('Меню'!$G$5:$G$149,'Меню'!$D$5:$D$149,A12)+SUMIFS('Меню'!$H$5:$H$149,'Меню'!$D$5:$D$149,A12))*1.05/1000</f>
        <v/>
      </c>
      <c r="C12" s="22">
        <f>IF('Продукты'!G18&gt;0,ROUNDUP(B12*1000/'Продукты'!G18,0),"")</f>
        <v/>
      </c>
      <c r="D12" s="22">
        <f>'Продукты'!F18</f>
        <v/>
      </c>
      <c r="E12" s="36">
        <f>B12*D12</f>
        <v/>
      </c>
      <c r="F12" s="6" t="n"/>
    </row>
    <row r="13">
      <c r="A13" s="22" t="inlineStr">
        <is>
          <t>Красная рыба (горбуша, форель)</t>
        </is>
      </c>
      <c r="B13" s="31">
        <f>(SUMIFS('Меню'!$G$5:$G$149,'Меню'!$D$5:$D$149,A13)+SUMIFS('Меню'!$H$5:$H$149,'Меню'!$D$5:$D$149,A13))*1.05/1000</f>
        <v/>
      </c>
      <c r="C13" s="22">
        <f>IF('Продукты'!G16&gt;0,ROUNDUP(B13*1000/'Продукты'!G16,0),"")</f>
        <v/>
      </c>
      <c r="D13" s="22">
        <f>'Продукты'!F16</f>
        <v/>
      </c>
      <c r="E13" s="36">
        <f>B13*D13</f>
        <v/>
      </c>
      <c r="F13" s="6" t="n"/>
    </row>
    <row r="14">
      <c r="A14" s="22" t="inlineStr">
        <is>
          <t>Куриная грудка</t>
        </is>
      </c>
      <c r="B14" s="31">
        <f>(SUMIFS('Меню'!$G$5:$G$149,'Меню'!$D$5:$D$149,A14)+SUMIFS('Меню'!$H$5:$H$149,'Меню'!$D$5:$D$149,A14))*1.05/1000</f>
        <v/>
      </c>
      <c r="C14" s="22">
        <f>IF('Продукты'!G12&gt;0,ROUNDUP(B14*1000/'Продукты'!G12,0),"")</f>
        <v/>
      </c>
      <c r="D14" s="22">
        <f>'Продукты'!F12</f>
        <v/>
      </c>
      <c r="E14" s="36">
        <f>B14*D14</f>
        <v/>
      </c>
      <c r="F14" s="6" t="n"/>
    </row>
    <row r="15">
      <c r="A15" s="22" t="inlineStr">
        <is>
          <t>Куриные бёдра/голень без кожи</t>
        </is>
      </c>
      <c r="B15" s="31">
        <f>(SUMIFS('Меню'!$G$5:$G$149,'Меню'!$D$5:$D$149,A15)+SUMIFS('Меню'!$H$5:$H$149,'Меню'!$D$5:$D$149,A15))*1.05/1000</f>
        <v/>
      </c>
      <c r="C15" s="22">
        <f>IF('Продукты'!G13&gt;0,ROUNDUP(B15*1000/'Продукты'!G13,0),"")</f>
        <v/>
      </c>
      <c r="D15" s="22">
        <f>'Продукты'!F13</f>
        <v/>
      </c>
      <c r="E15" s="36">
        <f>B15*D15</f>
        <v/>
      </c>
      <c r="F15" s="6" t="n"/>
    </row>
    <row r="16">
      <c r="A16" s="22" t="inlineStr">
        <is>
          <t>Куриный фарш</t>
        </is>
      </c>
      <c r="B16" s="31">
        <f>(SUMIFS('Меню'!$G$5:$G$149,'Меню'!$D$5:$D$149,A16)+SUMIFS('Меню'!$H$5:$H$149,'Меню'!$D$5:$D$149,A16))*1.05/1000</f>
        <v/>
      </c>
      <c r="C16" s="22">
        <f>IF('Продукты'!G14&gt;0,ROUNDUP(B16*1000/'Продукты'!G14,0),"")</f>
        <v/>
      </c>
      <c r="D16" s="22">
        <f>'Продукты'!F14</f>
        <v/>
      </c>
      <c r="E16" s="36">
        <f>B16*D16</f>
        <v/>
      </c>
      <c r="F16" s="6" t="n"/>
    </row>
    <row r="17">
      <c r="A17" s="22" t="inlineStr">
        <is>
          <t>Лук репчатый</t>
        </is>
      </c>
      <c r="B17" s="31">
        <f>(SUMIFS('Меню'!$G$5:$G$149,'Меню'!$D$5:$D$149,A17)+SUMIFS('Меню'!$H$5:$H$149,'Меню'!$D$5:$D$149,A17))*1.05/1000</f>
        <v/>
      </c>
      <c r="C17" s="22">
        <f>IF('Продукты'!G26&gt;0,ROUNDUP(B17*1000/'Продукты'!G26,0),"")</f>
        <v/>
      </c>
      <c r="D17" s="22">
        <f>'Продукты'!F26</f>
        <v/>
      </c>
      <c r="E17" s="36">
        <f>B17*D17</f>
        <v/>
      </c>
      <c r="F17" s="6" t="n"/>
    </row>
    <row r="18">
      <c r="A18" s="22" t="inlineStr">
        <is>
          <t>Макароны (сухие)</t>
        </is>
      </c>
      <c r="B18" s="31">
        <f>(SUMIFS('Меню'!$G$5:$G$149,'Меню'!$D$5:$D$149,A18)+SUMIFS('Меню'!$H$5:$H$149,'Меню'!$D$5:$D$149,A18))*1.05/1000</f>
        <v/>
      </c>
      <c r="C18" s="22">
        <f>IF('Продукты'!G9&gt;0,ROUNDUP(B18*1000/'Продукты'!G9,0),"")</f>
        <v/>
      </c>
      <c r="D18" s="22">
        <f>'Продукты'!F9</f>
        <v/>
      </c>
      <c r="E18" s="36">
        <f>B18*D18</f>
        <v/>
      </c>
      <c r="F18" s="6" t="n"/>
    </row>
    <row r="19">
      <c r="A19" s="22" t="inlineStr">
        <is>
          <t>Масло растительное</t>
        </is>
      </c>
      <c r="B19" s="31">
        <f>(SUMIFS('Меню'!$G$5:$G$149,'Меню'!$D$5:$D$149,A19)+SUMIFS('Меню'!$H$5:$H$149,'Меню'!$D$5:$D$149,A19))*1.05/1000</f>
        <v/>
      </c>
      <c r="C19" s="22">
        <f>IF('Продукты'!G32&gt;0,ROUNDUP(B19*1000/'Продукты'!G32,0),"")</f>
        <v/>
      </c>
      <c r="D19" s="22">
        <f>'Продукты'!F32</f>
        <v/>
      </c>
      <c r="E19" s="36">
        <f>B19*D19</f>
        <v/>
      </c>
      <c r="F19" s="6" t="n"/>
    </row>
    <row r="20">
      <c r="A20" s="22" t="inlineStr">
        <is>
          <t>Молоко 2.5%</t>
        </is>
      </c>
      <c r="B20" s="31">
        <f>(SUMIFS('Меню'!$G$5:$G$149,'Меню'!$D$5:$D$149,A20)+SUMIFS('Меню'!$H$5:$H$149,'Меню'!$D$5:$D$149,A20))*1.05/1000</f>
        <v/>
      </c>
      <c r="C20" s="22">
        <f>IF('Продукты'!G20&gt;0,ROUNDUP(B20*1000/'Продукты'!G20,0),"")</f>
        <v/>
      </c>
      <c r="D20" s="22">
        <f>'Продукты'!F20</f>
        <v/>
      </c>
      <c r="E20" s="36">
        <f>B20*D20</f>
        <v/>
      </c>
      <c r="F20" s="6" t="n"/>
    </row>
    <row r="21">
      <c r="A21" s="22" t="inlineStr">
        <is>
          <t>Морковь</t>
        </is>
      </c>
      <c r="B21" s="31">
        <f>(SUMIFS('Меню'!$G$5:$G$149,'Меню'!$D$5:$D$149,A21)+SUMIFS('Меню'!$H$5:$H$149,'Меню'!$D$5:$D$149,A21))*1.05/1000</f>
        <v/>
      </c>
      <c r="C21" s="22">
        <f>IF('Продукты'!G25&gt;0,ROUNDUP(B21*1000/'Продукты'!G25,0),"")</f>
        <v/>
      </c>
      <c r="D21" s="22">
        <f>'Продукты'!F25</f>
        <v/>
      </c>
      <c r="E21" s="36">
        <f>B21*D21</f>
        <v/>
      </c>
      <c r="F21" s="6" t="n"/>
    </row>
    <row r="22">
      <c r="A22" s="22" t="inlineStr">
        <is>
          <t>Овсяные хлопья (сухие)</t>
        </is>
      </c>
      <c r="B22" s="31">
        <f>(SUMIFS('Меню'!$G$5:$G$149,'Меню'!$D$5:$D$149,A22)+SUMIFS('Меню'!$H$5:$H$149,'Меню'!$D$5:$D$149,A22))*1.05/1000</f>
        <v/>
      </c>
      <c r="C22" s="22">
        <f>IF('Продукты'!G4&gt;0,ROUNDUP(B22*1000/'Продукты'!G4,0),"")</f>
        <v/>
      </c>
      <c r="D22" s="22">
        <f>'Продукты'!F4</f>
        <v/>
      </c>
      <c r="E22" s="36">
        <f>B22*D22</f>
        <v/>
      </c>
      <c r="F22" s="6" t="n"/>
    </row>
    <row r="23">
      <c r="A23" s="22" t="inlineStr">
        <is>
          <t>Огурцы</t>
        </is>
      </c>
      <c r="B23" s="31">
        <f>(SUMIFS('Меню'!$G$5:$G$149,'Меню'!$D$5:$D$149,A23)+SUMIFS('Меню'!$H$5:$H$149,'Меню'!$D$5:$D$149,A23))*1.05/1000</f>
        <v/>
      </c>
      <c r="C23" s="22">
        <f>IF('Продукты'!G28&gt;0,ROUNDUP(B23*1000/'Продукты'!G28,0),"")</f>
        <v/>
      </c>
      <c r="D23" s="22">
        <f>'Продукты'!F28</f>
        <v/>
      </c>
      <c r="E23" s="36">
        <f>B23*D23</f>
        <v/>
      </c>
      <c r="F23" s="6" t="n"/>
    </row>
    <row r="24">
      <c r="A24" s="22" t="inlineStr">
        <is>
          <t>Перловка (сухая)</t>
        </is>
      </c>
      <c r="B24" s="31">
        <f>(SUMIFS('Меню'!$G$5:$G$149,'Меню'!$D$5:$D$149,A24)+SUMIFS('Меню'!$H$5:$H$149,'Меню'!$D$5:$D$149,A24))*1.05/1000</f>
        <v/>
      </c>
      <c r="C24" s="22">
        <f>IF('Продукты'!G8&gt;0,ROUNDUP(B24*1000/'Продукты'!G8,0),"")</f>
        <v/>
      </c>
      <c r="D24" s="22">
        <f>'Продукты'!F8</f>
        <v/>
      </c>
      <c r="E24" s="36">
        <f>B24*D24</f>
        <v/>
      </c>
      <c r="F24" s="6" t="n"/>
    </row>
    <row r="25">
      <c r="A25" s="22" t="inlineStr">
        <is>
          <t>Помидоры</t>
        </is>
      </c>
      <c r="B25" s="31">
        <f>(SUMIFS('Меню'!$G$5:$G$149,'Меню'!$D$5:$D$149,A25)+SUMIFS('Меню'!$H$5:$H$149,'Меню'!$D$5:$D$149,A25))*1.05/1000</f>
        <v/>
      </c>
      <c r="C25" s="22">
        <f>IF('Продукты'!G27&gt;0,ROUNDUP(B25*1000/'Продукты'!G27,0),"")</f>
        <v/>
      </c>
      <c r="D25" s="22">
        <f>'Продукты'!F27</f>
        <v/>
      </c>
      <c r="E25" s="36">
        <f>B25*D25</f>
        <v/>
      </c>
      <c r="F25" s="6" t="n"/>
    </row>
    <row r="26">
      <c r="A26" s="22" t="inlineStr">
        <is>
          <t>Пшено (сухое)</t>
        </is>
      </c>
      <c r="B26" s="31">
        <f>(SUMIFS('Меню'!$G$5:$G$149,'Меню'!$D$5:$D$149,A26)+SUMIFS('Меню'!$H$5:$H$149,'Меню'!$D$5:$D$149,A26))*1.05/1000</f>
        <v/>
      </c>
      <c r="C26" s="22">
        <f>IF('Продукты'!G6&gt;0,ROUNDUP(B26*1000/'Продукты'!G6,0),"")</f>
        <v/>
      </c>
      <c r="D26" s="22">
        <f>'Продукты'!F6</f>
        <v/>
      </c>
      <c r="E26" s="36">
        <f>B26*D26</f>
        <v/>
      </c>
      <c r="F26" s="6" t="n"/>
    </row>
    <row r="27">
      <c r="A27" s="22" t="inlineStr">
        <is>
          <t>Рис (сухой)</t>
        </is>
      </c>
      <c r="B27" s="31">
        <f>(SUMIFS('Меню'!$G$5:$G$149,'Меню'!$D$5:$D$149,A27)+SUMIFS('Меню'!$H$5:$H$149,'Меню'!$D$5:$D$149,A27))*1.05/1000</f>
        <v/>
      </c>
      <c r="C27" s="22">
        <f>IF('Продукты'!G7&gt;0,ROUNDUP(B27*1000/'Продукты'!G7,0),"")</f>
        <v/>
      </c>
      <c r="D27" s="22">
        <f>'Продукты'!F7</f>
        <v/>
      </c>
      <c r="E27" s="36">
        <f>B27*D27</f>
        <v/>
      </c>
      <c r="F27" s="6" t="n"/>
    </row>
    <row r="28">
      <c r="A28" s="22" t="inlineStr">
        <is>
          <t>Салат айсберг</t>
        </is>
      </c>
      <c r="B28" s="31">
        <f>(SUMIFS('Меню'!$G$5:$G$149,'Меню'!$D$5:$D$149,A28)+SUMIFS('Меню'!$H$5:$H$149,'Меню'!$D$5:$D$149,A28))*1.05/1000</f>
        <v/>
      </c>
      <c r="C28" s="22">
        <f>IF('Продукты'!G23&gt;0,ROUNDUP(B28*1000/'Продукты'!G23,0),"")</f>
        <v/>
      </c>
      <c r="D28" s="22">
        <f>'Продукты'!F23</f>
        <v/>
      </c>
      <c r="E28" s="36">
        <f>B28*D28</f>
        <v/>
      </c>
      <c r="F28" s="6" t="n"/>
    </row>
    <row r="29">
      <c r="A29" s="22" t="inlineStr">
        <is>
          <t>Творог 5%</t>
        </is>
      </c>
      <c r="B29" s="31">
        <f>(SUMIFS('Меню'!$G$5:$G$149,'Меню'!$D$5:$D$149,A29)+SUMIFS('Меню'!$H$5:$H$149,'Меню'!$D$5:$D$149,A29))*1.05/1000</f>
        <v/>
      </c>
      <c r="C29" s="22">
        <f>IF('Продукты'!G17&gt;0,ROUNDUP(B29*1000/'Продукты'!G17,0),"")</f>
        <v/>
      </c>
      <c r="D29" s="22">
        <f>'Продукты'!F17</f>
        <v/>
      </c>
      <c r="E29" s="36">
        <f>B29*D29</f>
        <v/>
      </c>
      <c r="F29" s="6" t="n"/>
    </row>
    <row r="30">
      <c r="A30" s="22" t="inlineStr">
        <is>
          <t>Томатная паста</t>
        </is>
      </c>
      <c r="B30" s="31">
        <f>(SUMIFS('Меню'!$G$5:$G$149,'Меню'!$D$5:$D$149,A30)+SUMIFS('Меню'!$H$5:$H$149,'Меню'!$D$5:$D$149,A30))*1.05/1000</f>
        <v/>
      </c>
      <c r="C30" s="22">
        <f>IF('Продукты'!G34&gt;0,ROUNDUP(B30*1000/'Продукты'!G34,0),"")</f>
        <v/>
      </c>
      <c r="D30" s="22">
        <f>'Продукты'!F34</f>
        <v/>
      </c>
      <c r="E30" s="36">
        <f>B30*D30</f>
        <v/>
      </c>
      <c r="F30" s="6" t="n"/>
    </row>
    <row r="31">
      <c r="A31" s="22" t="inlineStr">
        <is>
          <t>Хлеб цельнозерновой/ржаной</t>
        </is>
      </c>
      <c r="B31" s="31">
        <f>(SUMIFS('Меню'!$G$5:$G$149,'Меню'!$D$5:$D$149,A31)+SUMIFS('Меню'!$H$5:$H$149,'Меню'!$D$5:$D$149,A31))*1.05/1000</f>
        <v/>
      </c>
      <c r="C31" s="22">
        <f>IF('Продукты'!G31&gt;0,ROUNDUP(B31*1000/'Продукты'!G31,0),"")</f>
        <v/>
      </c>
      <c r="D31" s="22">
        <f>'Продукты'!F31</f>
        <v/>
      </c>
      <c r="E31" s="36">
        <f>B31*D31</f>
        <v/>
      </c>
      <c r="F31" s="6" t="n"/>
    </row>
    <row r="32">
      <c r="A32" s="22" t="inlineStr">
        <is>
          <t>Чечевица (сухая)</t>
        </is>
      </c>
      <c r="B32" s="31">
        <f>(SUMIFS('Меню'!$G$5:$G$149,'Меню'!$D$5:$D$149,A32)+SUMIFS('Меню'!$H$5:$H$149,'Меню'!$D$5:$D$149,A32))*1.05/1000</f>
        <v/>
      </c>
      <c r="C32" s="22">
        <f>IF('Продукты'!G22&gt;0,ROUNDUP(B32*1000/'Продукты'!G22,0),"")</f>
        <v/>
      </c>
      <c r="D32" s="22">
        <f>'Продукты'!F22</f>
        <v/>
      </c>
      <c r="E32" s="36">
        <f>B32*D32</f>
        <v/>
      </c>
      <c r="F32" s="6" t="n"/>
    </row>
    <row r="33">
      <c r="A33" s="22" t="inlineStr">
        <is>
          <t>Яблоки</t>
        </is>
      </c>
      <c r="B33" s="31">
        <f>(SUMIFS('Меню'!$G$5:$G$149,'Меню'!$D$5:$D$149,A33)+SUMIFS('Меню'!$H$5:$H$149,'Меню'!$D$5:$D$149,A33))*1.05/1000</f>
        <v/>
      </c>
      <c r="C33" s="22">
        <f>IF('Продукты'!G30&gt;0,ROUNDUP(B33*1000/'Продукты'!G30,0),"")</f>
        <v/>
      </c>
      <c r="D33" s="22">
        <f>'Продукты'!F30</f>
        <v/>
      </c>
      <c r="E33" s="36">
        <f>B33*D33</f>
        <v/>
      </c>
      <c r="F33" s="6" t="n"/>
    </row>
    <row r="34">
      <c r="A34" s="22" t="inlineStr">
        <is>
          <t>Яйцо</t>
        </is>
      </c>
      <c r="B34" s="31">
        <f>(SUMIFS('Меню'!$G$5:$G$149,'Меню'!$D$5:$D$149,A34)+SUMIFS('Меню'!$H$5:$H$149,'Меню'!$D$5:$D$149,A34))*1.05/1000</f>
        <v/>
      </c>
      <c r="C34" s="22">
        <f>IF('Продукты'!G11&gt;0,ROUNDUP(B34*1000/'Продукты'!G11,0),"")</f>
        <v/>
      </c>
      <c r="D34" s="22">
        <f>'Продукты'!F11</f>
        <v/>
      </c>
      <c r="E34" s="36">
        <f>B34*D34</f>
        <v/>
      </c>
      <c r="F34" s="6" t="n"/>
    </row>
    <row r="36">
      <c r="A36" s="5" t="inlineStr">
        <is>
          <t>Итого в неделю, ₽</t>
        </is>
      </c>
      <c r="E36" s="37">
        <f>SUM(E5:E34)</f>
        <v/>
      </c>
    </row>
    <row r="37">
      <c r="A37" s="5" t="inlineStr">
        <is>
          <t>Итого в месяц (×4,3), ₽</t>
        </is>
      </c>
      <c r="E37" s="37">
        <f>E36*4.3</f>
        <v/>
      </c>
    </row>
    <row r="38">
      <c r="A38" s="5" t="inlineStr">
        <is>
          <t>Бюджет на еду в месяц, ₽</t>
        </is>
      </c>
      <c r="E38" s="37">
        <f>'Расчёт'!B13</f>
        <v/>
      </c>
    </row>
    <row r="39">
      <c r="A39" s="5" t="inlineStr">
        <is>
          <t>Остаток бюджета, ₽</t>
        </is>
      </c>
      <c r="E39" s="37">
        <f>E38-E37</f>
        <v/>
      </c>
    </row>
    <row r="41">
      <c r="A41" s="4" t="inlineStr">
        <is>
          <t>Как сэкономить: бёдра вместо грудки, минтай вместо красной рыбы в 6 из 7 дней, сезонные овощи, айсберг можно заменить пекинской капустой.</t>
        </is>
      </c>
    </row>
  </sheetData>
  <dataValidations count="1">
    <dataValidation sqref="F5:F34" showDropDown="0" showInputMessage="0" showErrorMessage="0" allowBlank="1" type="list">
      <formula1>"✔,—"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86674"/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0" customWidth="1" min="4" max="4"/>
    <col width="11" customWidth="1" min="5" max="5"/>
    <col width="100" customWidth="1" min="6" max="6"/>
    <col width="13" customWidth="1" min="7" max="7"/>
  </cols>
  <sheetData>
    <row r="1">
      <c r="A1" s="1" t="inlineStr">
        <is>
          <t>Что купить</t>
        </is>
      </c>
    </row>
    <row r="2">
      <c r="A2" s="2" t="inlineStr">
        <is>
          <t>Обязательное отмечено «да». Впиши фактическую цену в жёлтую ячейку.</t>
        </is>
      </c>
    </row>
    <row r="4">
      <c r="A4" s="15" t="inlineStr">
        <is>
          <t>Группа</t>
        </is>
      </c>
      <c r="B4" s="15" t="inlineStr">
        <is>
          <t>Предмет</t>
        </is>
      </c>
      <c r="C4" s="15" t="inlineStr">
        <is>
          <t>От, ₽</t>
        </is>
      </c>
      <c r="D4" s="15" t="inlineStr">
        <is>
          <t>До, ₽</t>
        </is>
      </c>
      <c r="E4" s="15" t="inlineStr">
        <is>
          <t>Нужно?</t>
        </is>
      </c>
      <c r="F4" s="15" t="inlineStr">
        <is>
          <t>Как выбирать</t>
        </is>
      </c>
      <c r="G4" s="15" t="inlineStr">
        <is>
          <t>Купил за, ₽</t>
        </is>
      </c>
    </row>
    <row r="5" ht="102" customHeight="1">
      <c r="A5" s="16" t="inlineStr">
        <is>
          <t>Обувь</t>
        </is>
      </c>
      <c r="B5" s="16" t="inlineStr">
        <is>
          <t>Беговые кроссовки с хорошей амортизацией</t>
        </is>
      </c>
      <c r="C5" s="16" t="n">
        <v>6000</v>
      </c>
      <c r="D5" s="16" t="n">
        <v>9000</v>
      </c>
      <c r="E5" s="16" t="inlineStr">
        <is>
          <t>да</t>
        </is>
      </c>
      <c r="F5" s="16" t="inlineStr">
        <is>
          <t>• Для веса 90 кг и крепитации в коленях бери модель с толстой мягкой подошвой (категория «max cushion» или нейтральная амортизация).
• Примеряй вечером, когда нога чуть отекла, и в тех носках, в которых будешь бегать.
• Запас 1–1,5 см перед большим пальцем, пятка не соскальзывает, перед свободный.
• Прогуляйся и пробеги несколько шагов в магазине. Ничего не должно давить.
• Для парка с грунтом подойдёт обычная дорожная подошва, шипы не нужны.
• Меняй через 600–800 км, если подошва стёрлась или стало жёстче.</t>
        </is>
      </c>
      <c r="G5" s="18" t="n"/>
    </row>
    <row r="6" ht="34" customHeight="1">
      <c r="A6" s="16" t="inlineStr">
        <is>
          <t>Обувь</t>
        </is>
      </c>
      <c r="B6" s="16" t="inlineStr">
        <is>
          <t>Носки беговые 2–3 пары</t>
        </is>
      </c>
      <c r="C6" s="16" t="n">
        <v>600</v>
      </c>
      <c r="D6" s="16" t="n">
        <v>1500</v>
      </c>
      <c r="E6" s="16" t="inlineStr">
        <is>
          <t>да</t>
        </is>
      </c>
      <c r="F6" s="16" t="inlineStr">
        <is>
          <t>• Синтетика или шерсть мериноса, хлопок мокнет и натирает.
• Без грубых швов, с плотной зоной на пятке.</t>
        </is>
      </c>
      <c r="G6" s="18" t="n"/>
    </row>
    <row r="7" ht="34" customHeight="1">
      <c r="A7" s="16" t="inlineStr">
        <is>
          <t>Одежда</t>
        </is>
      </c>
      <c r="B7" s="16" t="inlineStr">
        <is>
          <t>Термобельё (базовый слой), осень/зима</t>
        </is>
      </c>
      <c r="C7" s="16" t="n">
        <v>1500</v>
      </c>
      <c r="D7" s="16" t="n">
        <v>3000</v>
      </c>
      <c r="E7" s="16" t="inlineStr">
        <is>
          <t>да</t>
        </is>
      </c>
      <c r="F7" s="16" t="inlineStr">
        <is>
          <t>• Первый слой отводит влагу: синтетика или мериносовая шерсть.
• Хлопковая футболка мокнет и остывает, поэтому под низ не надевай.</t>
        </is>
      </c>
      <c r="G7" s="18" t="n"/>
    </row>
    <row r="8" ht="32" customHeight="1">
      <c r="A8" s="16" t="inlineStr">
        <is>
          <t>Одежда</t>
        </is>
      </c>
      <c r="B8" s="16" t="inlineStr">
        <is>
          <t>Беговые футболки 2 шт.</t>
        </is>
      </c>
      <c r="C8" s="16" t="n">
        <v>1000</v>
      </c>
      <c r="D8" s="16" t="n">
        <v>2000</v>
      </c>
      <c r="E8" s="16" t="inlineStr">
        <is>
          <t>да</t>
        </is>
      </c>
      <c r="F8" s="16" t="inlineStr">
        <is>
          <t>• Лёгкая синтетика, швы плоские, чтобы не натирало.</t>
        </is>
      </c>
      <c r="G8" s="18" t="n"/>
    </row>
    <row r="9" ht="34" customHeight="1">
      <c r="A9" s="16" t="inlineStr">
        <is>
          <t>Одежда</t>
        </is>
      </c>
      <c r="B9" s="16" t="inlineStr">
        <is>
          <t>Шорты и тайтсы/лосины</t>
        </is>
      </c>
      <c r="C9" s="16" t="n">
        <v>1500</v>
      </c>
      <c r="D9" s="16" t="n">
        <v>2500</v>
      </c>
      <c r="E9" s="16" t="inlineStr">
        <is>
          <t>да</t>
        </is>
      </c>
      <c r="F9" s="16" t="inlineStr">
        <is>
          <t>• Тайтсы для прохладной погоды, шорты для зала и тёплых дней.
• Должны сидеть плотно, но не стягивать колени.</t>
        </is>
      </c>
      <c r="G9" s="18" t="n"/>
    </row>
    <row r="10" ht="51" customHeight="1">
      <c r="A10" s="16" t="inlineStr">
        <is>
          <t>Одежда</t>
        </is>
      </c>
      <c r="B10" s="16" t="inlineStr">
        <is>
          <t>Ветровка (лёгкая куртка)</t>
        </is>
      </c>
      <c r="C10" s="16" t="n">
        <v>2000</v>
      </c>
      <c r="D10" s="16" t="n">
        <v>4000</v>
      </c>
      <c r="E10" s="16" t="inlineStr">
        <is>
          <t>да</t>
        </is>
      </c>
      <c r="F10" s="16" t="inlineStr">
        <is>
          <t>• Ветрозащита важнее утепления: греет движение.
• Светоотражающие элементы, если бегаешь в сумерках.
• Берётся на размер больше, чтобы под неё влез слой.</t>
        </is>
      </c>
      <c r="G10" s="18" t="n"/>
    </row>
    <row r="11" ht="32" customHeight="1">
      <c r="A11" s="16" t="inlineStr">
        <is>
          <t>Одежда</t>
        </is>
      </c>
      <c r="B11" s="16" t="inlineStr">
        <is>
          <t>Шапка/бафф и тонкие перчатки</t>
        </is>
      </c>
      <c r="C11" s="16" t="n">
        <v>800</v>
      </c>
      <c r="D11" s="16" t="n">
        <v>1500</v>
      </c>
      <c r="E11" s="16" t="inlineStr">
        <is>
          <t>по желанию</t>
        </is>
      </c>
      <c r="F11" s="16" t="inlineStr">
        <is>
          <t>• Нужны при температуре ниже +8 °C.</t>
        </is>
      </c>
      <c r="G11" s="18" t="n"/>
    </row>
    <row r="12" ht="34" customHeight="1">
      <c r="A12" s="16" t="inlineStr">
        <is>
          <t>Для подтягиваний</t>
        </is>
      </c>
      <c r="B12" s="16" t="inlineStr">
        <is>
          <t>Резиновые петли (набор из 2–3)</t>
        </is>
      </c>
      <c r="C12" s="16" t="n">
        <v>1000</v>
      </c>
      <c r="D12" s="16" t="n">
        <v>2000</v>
      </c>
      <c r="E12" s="16" t="inlineStr">
        <is>
          <t>да</t>
        </is>
      </c>
      <c r="F12" s="16" t="inlineStr">
        <is>
          <t>• Для помощи в подтягиваниях и разгрузки в начале.
• Бери разное сопротивление (лёгкая и средняя).</t>
        </is>
      </c>
      <c r="G12" s="18" t="n"/>
    </row>
    <row r="13" ht="32" customHeight="1">
      <c r="A13" s="16" t="inlineStr">
        <is>
          <t>Для подтягиваний</t>
        </is>
      </c>
      <c r="B13" s="16" t="inlineStr">
        <is>
          <t>Магнезия или перчатки без пальцев</t>
        </is>
      </c>
      <c r="C13" s="16" t="n">
        <v>300</v>
      </c>
      <c r="D13" s="16" t="n">
        <v>800</v>
      </c>
      <c r="E13" s="16" t="inlineStr">
        <is>
          <t>по желанию</t>
        </is>
      </c>
      <c r="F13" s="16" t="inlineStr">
        <is>
          <t>• Сухие руки лучше держат, мозоли реже. Магнезия в мешочке — самый дешёвый вариант.</t>
        </is>
      </c>
      <c r="G13" s="18" t="n"/>
    </row>
    <row r="14" ht="32" customHeight="1">
      <c r="A14" s="16" t="inlineStr">
        <is>
          <t>Для подтягиваний</t>
        </is>
      </c>
      <c r="B14" s="16" t="inlineStr">
        <is>
          <t>Рюкзак для груза + бутылки с водой</t>
        </is>
      </c>
      <c r="C14" s="16" t="n">
        <v>0</v>
      </c>
      <c r="D14" s="16" t="n">
        <v>500</v>
      </c>
      <c r="E14" s="16" t="inlineStr">
        <is>
          <t>да</t>
        </is>
      </c>
      <c r="F14" s="16" t="inlineStr">
        <is>
          <t>• Для румынской тяги и приседов с рюкзаком. Нагрузку наращивай бутылками по 1,5 л (1,5 кг каждая).</t>
        </is>
      </c>
      <c r="G14" s="18" t="n"/>
    </row>
    <row r="15" ht="32" customHeight="1">
      <c r="A15" s="16" t="inlineStr">
        <is>
          <t>Прочее</t>
        </is>
      </c>
      <c r="B15" s="16" t="inlineStr">
        <is>
          <t>Бутылка для воды 0,75 л</t>
        </is>
      </c>
      <c r="C15" s="16" t="n">
        <v>200</v>
      </c>
      <c r="D15" s="16" t="n">
        <v>600</v>
      </c>
      <c r="E15" s="16" t="inlineStr">
        <is>
          <t>да</t>
        </is>
      </c>
      <c r="F15" s="16" t="inlineStr">
        <is>
          <t>• На тренировку бери воду: 300–500 мл в течение занятия.</t>
        </is>
      </c>
      <c r="G15" s="18" t="n"/>
    </row>
    <row r="16" ht="32" customHeight="1">
      <c r="A16" s="16" t="inlineStr">
        <is>
          <t>Прочее</t>
        </is>
      </c>
      <c r="B16" s="16" t="inlineStr">
        <is>
          <t>Массажный ролик (пенный)</t>
        </is>
      </c>
      <c r="C16" s="16" t="n">
        <v>800</v>
      </c>
      <c r="D16" s="16" t="n">
        <v>1500</v>
      </c>
      <c r="E16" s="16" t="inlineStr">
        <is>
          <t>по желанию</t>
        </is>
      </c>
      <c r="F16" s="16" t="inlineStr">
        <is>
          <t>• Прокатывай бёдра и икры после тренировки по 1–2 минуты на зону. Колени и суставы не катай.</t>
        </is>
      </c>
      <c r="G16" s="18" t="n"/>
    </row>
    <row r="17" ht="32" customHeight="1">
      <c r="A17" s="16" t="inlineStr">
        <is>
          <t>Прочее</t>
        </is>
      </c>
      <c r="B17" s="16" t="inlineStr">
        <is>
          <t>Пульсометр или часы с пульсом</t>
        </is>
      </c>
      <c r="C17" s="16" t="n">
        <v>2000</v>
      </c>
      <c r="D17" s="16" t="n">
        <v>6000</v>
      </c>
      <c r="E17" s="16" t="inlineStr">
        <is>
          <t>по желанию</t>
        </is>
      </c>
      <c r="F17" s="16" t="inlineStr">
        <is>
          <t>• Не обязателен. Полезен, чтобы не перегружать сердце в первые недели.</t>
        </is>
      </c>
      <c r="G17" s="18" t="n"/>
    </row>
    <row r="18" ht="32" customHeight="1">
      <c r="A18" s="16" t="inlineStr">
        <is>
          <t>Прочее</t>
        </is>
      </c>
      <c r="B18" s="16" t="inlineStr">
        <is>
          <t>Коврик (туристический)</t>
        </is>
      </c>
      <c r="C18" s="16" t="n">
        <v>500</v>
      </c>
      <c r="D18" s="16" t="n">
        <v>1200</v>
      </c>
      <c r="E18" s="16" t="inlineStr">
        <is>
          <t>по желанию</t>
        </is>
      </c>
      <c r="F18" s="16" t="inlineStr">
        <is>
          <t>• Для мостиков, скручиваний и планки на траве или земле.</t>
        </is>
      </c>
      <c r="G18" s="18" t="n"/>
    </row>
    <row r="20">
      <c r="A20" s="5" t="inlineStr">
        <is>
          <t>Обязательное: от</t>
        </is>
      </c>
      <c r="B20" s="38">
        <f>SUMIFS(C5:C18,E5:E18,"да")</f>
        <v/>
      </c>
    </row>
    <row r="21">
      <c r="A21" s="5" t="inlineStr">
        <is>
          <t>Обязательное: до</t>
        </is>
      </c>
      <c r="B21" s="38">
        <f>SUMIFS(D5:D18,E5:E18,"да")</f>
        <v/>
      </c>
    </row>
    <row r="22">
      <c r="A22" s="5" t="inlineStr">
        <is>
          <t>Всё вместе: до</t>
        </is>
      </c>
      <c r="B22" s="38">
        <f>SUM(D5:D18)</f>
        <v/>
      </c>
    </row>
    <row r="23">
      <c r="A23" s="5" t="inlineStr">
        <is>
          <t>Потрачено фактически</t>
        </is>
      </c>
      <c r="B23" s="38">
        <f>SUM(G5:G18)</f>
        <v/>
      </c>
    </row>
    <row r="24">
      <c r="A24" s="5" t="inlineStr">
        <is>
          <t>Бюджет</t>
        </is>
      </c>
      <c r="B24" s="38">
        <f>'Расчёт'!B12</f>
        <v/>
      </c>
    </row>
    <row r="25">
      <c r="A25" s="5" t="inlineStr">
        <is>
          <t>Остаток</t>
        </is>
      </c>
      <c r="B25" s="38">
        <f>B24-B23</f>
        <v/>
      </c>
    </row>
    <row r="27">
      <c r="A27" s="3" t="inlineStr">
        <is>
          <t>Как проверить кроссовки в магазине</t>
        </is>
      </c>
    </row>
    <row r="28">
      <c r="A28" t="inlineStr">
        <is>
          <t>•</t>
        </is>
      </c>
      <c r="B28" s="4" t="inlineStr">
        <is>
          <t>Большой палец не упирается в носок, запас около 1 см.</t>
        </is>
      </c>
    </row>
    <row r="29">
      <c r="A29" t="inlineStr">
        <is>
          <t>•</t>
        </is>
      </c>
      <c r="B29" s="4" t="inlineStr">
        <is>
          <t>Пятка не выскальзывает при шаге и беге.</t>
        </is>
      </c>
    </row>
    <row r="30">
      <c r="A30" t="inlineStr">
        <is>
          <t>•</t>
        </is>
      </c>
      <c r="B30" s="4" t="inlineStr">
        <is>
          <t>Нет давления на подъёме, шнуровка не режет.</t>
        </is>
      </c>
    </row>
    <row r="31">
      <c r="A31" t="inlineStr">
        <is>
          <t>•</t>
        </is>
      </c>
      <c r="B31" s="4" t="inlineStr">
        <is>
          <t>Подошва сгибается в районе плюсны, а не посередине.</t>
        </is>
      </c>
    </row>
    <row r="32">
      <c r="A32" t="inlineStr">
        <is>
          <t>•</t>
        </is>
      </c>
      <c r="B32" s="4" t="inlineStr">
        <is>
          <t>Через 10 минут ходьбы нога не горит.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D5DB0"/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26" customWidth="1" min="4" max="4"/>
    <col width="62" customWidth="1" min="5" max="5"/>
    <col width="56" customWidth="1" min="6" max="6"/>
    <col width="34" customWidth="1" min="7" max="7"/>
    <col width="34" customWidth="1" min="8" max="8"/>
    <col width="34" customWidth="1" min="9" max="9"/>
    <col width="46" customWidth="1" min="10" max="10"/>
  </cols>
  <sheetData>
    <row r="1">
      <c r="A1" s="1" t="inlineStr">
        <is>
          <t>Техника упражнений</t>
        </is>
      </c>
    </row>
    <row r="2">
      <c r="A2" s="2" t="inlineStr">
        <is>
          <t>Снимай себя сбоку и сверяй. Боль и отёк в суставах означают стоп.</t>
        </is>
      </c>
    </row>
    <row r="4">
      <c r="A4" s="15" t="inlineStr">
        <is>
          <t>Упражнение</t>
        </is>
      </c>
      <c r="B4" s="15" t="inlineStr">
        <is>
          <t>Группа</t>
        </is>
      </c>
      <c r="C4" s="15" t="inlineStr">
        <is>
          <t>Инвентарь</t>
        </is>
      </c>
      <c r="D4" s="15" t="inlineStr">
        <is>
          <t>Дозировка</t>
        </is>
      </c>
      <c r="E4" s="15" t="inlineStr">
        <is>
          <t>Как делать</t>
        </is>
      </c>
      <c r="F4" s="15" t="inlineStr">
        <is>
          <t>Частые ошибки</t>
        </is>
      </c>
      <c r="G4" s="15" t="inlineStr">
        <is>
          <t>Подсказка</t>
        </is>
      </c>
      <c r="H4" s="15" t="inlineStr">
        <is>
          <t>Легче</t>
        </is>
      </c>
      <c r="I4" s="15" t="inlineStr">
        <is>
          <t>Сложнее</t>
        </is>
      </c>
      <c r="J4" s="15" t="inlineStr">
        <is>
          <t>Колени</t>
        </is>
      </c>
    </row>
    <row r="5" ht="88" customHeight="1">
      <c r="A5" s="35" t="inlineStr">
        <is>
          <t>Подтягивания</t>
        </is>
      </c>
      <c r="B5" s="16" t="inlineStr">
        <is>
          <t>Подтягивания</t>
        </is>
      </c>
      <c r="C5" s="16" t="inlineStr">
        <is>
          <t>Турник</t>
        </is>
      </c>
      <c r="D5" s="16" t="inlineStr">
        <is>
          <t>Силовые: подходы не до отказа, пауза 2 мин</t>
        </is>
      </c>
      <c r="E5" s="16" t="inlineStr">
        <is>
          <t>1. Хват прямой, чуть шире плеч. Начинай из виса на прямых руках, плечи опущены от ушей.
2. Сведи лопатки и тяни локти вниз и к рёбрам, подбородок выше перекладины.
3. Опускайся 2–3 секунды до полного выпрямления рук.
4. Корпус почти вертикально, ноги скрещены или слегка согнуты, без раскачки.</t>
        </is>
      </c>
      <c r="F5" s="16" t="inlineStr">
        <is>
          <t>• Не добирают амплитуду внизу (руки не выпрямляются), на зачёте такое не засчитают.
• Рывок ногами и «киппинг», обычно в зачёт он не идёт.
• Плечи подняты к ушам, вся работа идёт на трапеции и шею.
• Подход до полного отказа каждый день, мышцы и локти не успевают восстановиться.</t>
        </is>
      </c>
      <c r="G5" s="16" t="inlineStr">
        <is>
          <t>Тяни локти в карманы. Грудь к перекладине.</t>
        </is>
      </c>
      <c r="H5" s="16" t="inlineStr">
        <is>
          <t>Негативы, резиновая петля, австралийские подтягивания.</t>
        </is>
      </c>
      <c r="I5" s="16" t="inlineStr">
        <is>
          <t>Пауза 2 секунды вверху, затем с грузом на поясе.</t>
        </is>
      </c>
      <c r="J5" s="16" t="inlineStr">
        <is>
          <t>Колени не нагружаются, это главное упражнение в твоём плане.</t>
        </is>
      </c>
    </row>
    <row r="6" ht="71" customHeight="1">
      <c r="A6" s="35" t="inlineStr">
        <is>
          <t>Негативные подтягивания</t>
        </is>
      </c>
      <c r="B6" s="16" t="inlineStr">
        <is>
          <t>Подтягивания</t>
        </is>
      </c>
      <c r="C6" s="16" t="inlineStr">
        <is>
          <t>Турник + скамейка</t>
        </is>
      </c>
      <c r="D6" s="16" t="inlineStr">
        <is>
          <t>3×3–5, спуск 4–5 секунд</t>
        </is>
      </c>
      <c r="E6" s="16" t="inlineStr">
        <is>
          <t>1. Встань на скамью или подпрыгни, чтобы подбородок оказался над перекладиной.
2. Медленно опускайся 4–5 секунд до полного виса.
3. Спустись, отдохни 2 минуты, повтори.</t>
        </is>
      </c>
      <c r="F6" s="16" t="inlineStr">
        <is>
          <t>• Падают вниз за 1 секунду, нужен контролируемый спуск.
• Не доходят до полного выпрямления рук.</t>
        </is>
      </c>
      <c r="G6" s="16" t="inlineStr">
        <is>
          <t>Считай про себя «двадцать один, двадцать два…» на спуске.</t>
        </is>
      </c>
      <c r="H6" s="16" t="inlineStr">
        <is>
          <t>Спуск за 3 секунды.</t>
        </is>
      </c>
      <c r="I6" s="16" t="inlineStr">
        <is>
          <t>Спуск 6–8 секунд, пауза в середине.</t>
        </is>
      </c>
      <c r="J6" s="16" t="inlineStr">
        <is>
          <t>Нагрузка на колени отсутствует.</t>
        </is>
      </c>
    </row>
    <row r="7" ht="71" customHeight="1">
      <c r="A7" s="35" t="inlineStr">
        <is>
          <t>Австралийские подтягивания</t>
        </is>
      </c>
      <c r="B7" s="16" t="inlineStr">
        <is>
          <t>Подтягивания</t>
        </is>
      </c>
      <c r="C7" s="16" t="inlineStr">
        <is>
          <t>Низкая перекладина или брусья</t>
        </is>
      </c>
      <c r="D7" s="16" t="inlineStr">
        <is>
          <t>3×8–12</t>
        </is>
      </c>
      <c r="E7" s="16" t="inlineStr">
        <is>
          <t>1. Лягь под низкую перекладину (на уровне пояса), хват прямой, тело прямое от пяток до головы.
2. Подтяни грудь к перекладине, локти идут вниз и назад.
3. Опустись контролируемо, не прогибай поясницу.</t>
        </is>
      </c>
      <c r="F7" s="16" t="inlineStr">
        <is>
          <t>• Таз провисает, корпус не держится прямой линией.
• Тянут только руками, лопатки не сводятся.</t>
        </is>
      </c>
      <c r="G7" s="16" t="inlineStr">
        <is>
          <t>Тело как доска. Грудь к перекладине.</t>
        </is>
      </c>
      <c r="H7" s="16" t="inlineStr">
        <is>
          <t>Согни колени, ноги ближе к рукам.</t>
        </is>
      </c>
      <c r="I7" s="16" t="inlineStr">
        <is>
          <t>Ноги выше уровня таза, пауза 2 секунды.</t>
        </is>
      </c>
      <c r="J7" s="16" t="inlineStr">
        <is>
          <t>Колени не нагружаются.</t>
        </is>
      </c>
    </row>
    <row r="8" ht="88" customHeight="1">
      <c r="A8" s="35" t="inlineStr">
        <is>
          <t>Отжимания</t>
        </is>
      </c>
      <c r="B8" s="16" t="inlineStr">
        <is>
          <t>Сила верха</t>
        </is>
      </c>
      <c r="C8" s="16" t="inlineStr">
        <is>
          <t>Пол или скамейка</t>
        </is>
      </c>
      <c r="D8" s="16" t="inlineStr">
        <is>
          <t>3 подхода по (максимум − 2)</t>
        </is>
      </c>
      <c r="E8" s="16" t="inlineStr">
        <is>
          <t>1. Упор лёжа: ладони под плечами, тело прямое, ягодицы не торчат.
2. Опускайся до касания грудью или до угла локтей 90°.
3. Локти под 45° к корпусу, не разводи в стороны.
4. Выдох при отжимании вверх.</t>
        </is>
      </c>
      <c r="F8" s="16" t="inlineStr">
        <is>
          <t>• Таз провисает или торчит вверх.
• Локти разведены на 90° и давят на плечи.
• Неполная амплитуда.</t>
        </is>
      </c>
      <c r="G8" s="16" t="inlineStr">
        <is>
          <t>Плечи от ушей, пресс напряжён.</t>
        </is>
      </c>
      <c r="H8" s="16" t="inlineStr">
        <is>
          <t>Руки на скамье или столе (чем выше, тем легче).</t>
        </is>
      </c>
      <c r="I8" s="16" t="inlineStr">
        <is>
          <t>Ноги на скамье или пауза внизу 2 секунды.</t>
        </is>
      </c>
      <c r="J8" s="16" t="inlineStr">
        <is>
          <t>Если больно стоять на коленях, оставайся на носках.</t>
        </is>
      </c>
    </row>
    <row r="9" ht="88" customHeight="1">
      <c r="A9" s="35" t="inlineStr">
        <is>
          <t>Присед до скамьи</t>
        </is>
      </c>
      <c r="B9" s="16" t="inlineStr">
        <is>
          <t>Ноги</t>
        </is>
      </c>
      <c r="C9" s="16" t="inlineStr">
        <is>
          <t>Скамейка</t>
        </is>
      </c>
      <c r="D9" s="16" t="inlineStr">
        <is>
          <t>3×10–12, затем с рюкзаком</t>
        </is>
      </c>
      <c r="E9" s="16" t="inlineStr">
        <is>
          <t>1. Встань спиной к скамье, стопы на ширине плеч, носки чуть в стороны.
2. Тазом назад, как будто садишься на стул, колени идут над стопами.
3. Коснись скамьи и встань без раскачки, на выдохе.
4. Амплитуду ограничивает скамья: глубже не нужно.</t>
        </is>
      </c>
      <c r="F9" s="16" t="inlineStr">
        <is>
          <t>• Колени заваливаются внутрь, держи их над мизинцем.
• Пятки отрываются от земли.
• Падают на скамью, нужен контроль.</t>
        </is>
      </c>
      <c r="G9" s="16" t="inlineStr">
        <is>
          <t>Колени смотрят туда же, куда носки.</t>
        </is>
      </c>
      <c r="H9" s="16" t="inlineStr">
        <is>
          <t>Более высокая скамья.</t>
        </is>
      </c>
      <c r="I9" s="16" t="inlineStr">
        <is>
          <t>Рюкзак с грузом на груди (гоблет).</t>
        </is>
      </c>
      <c r="J9" s="16" t="inlineStr">
        <is>
          <t>Хруст без боли допустим. Глубокую «лягушку» и полный присед отложи, пока колени не окрепнут. Боль, отёк или блокировка означают стоп и визит к врачу.</t>
        </is>
      </c>
    </row>
    <row r="10" ht="71" customHeight="1">
      <c r="A10" s="35" t="inlineStr">
        <is>
          <t>Подъём на скамью</t>
        </is>
      </c>
      <c r="B10" s="16" t="inlineStr">
        <is>
          <t>Ноги</t>
        </is>
      </c>
      <c r="C10" s="16" t="inlineStr">
        <is>
          <t>Скамейка</t>
        </is>
      </c>
      <c r="D10" s="16" t="inlineStr">
        <is>
          <t>3×8 на ногу</t>
        </is>
      </c>
      <c r="E10" s="16" t="inlineStr">
        <is>
          <t>1. Поставь всю стопу на скамью (высота не выше колена).
2. Поднимись усилием ноги на скамье, не отталкивайся задней ногой.
3. Медленно опустись обратно.</t>
        </is>
      </c>
      <c r="F10" s="16" t="inlineStr">
        <is>
          <t>• Толкаются нижней ногой.
• Колено уходит внутрь.</t>
        </is>
      </c>
      <c r="G10" s="16" t="inlineStr">
        <is>
          <t>Вся стопа на опоре, корпус прямой.</t>
        </is>
      </c>
      <c r="H10" s="16" t="inlineStr">
        <is>
          <t>Низкая опора (подножка).</t>
        </is>
      </c>
      <c r="I10" s="16" t="inlineStr">
        <is>
          <t>С рюкзаком в руках.</t>
        </is>
      </c>
      <c r="J10" s="16" t="inlineStr">
        <is>
          <t>Нагружает колено мягче, чем выпады. Опускайся медленно.</t>
        </is>
      </c>
    </row>
    <row r="11" ht="88" customHeight="1">
      <c r="A11" s="35" t="inlineStr">
        <is>
          <t>Румынская тяга с рюкзаком</t>
        </is>
      </c>
      <c r="B11" s="16" t="inlineStr">
        <is>
          <t>Ноги</t>
        </is>
      </c>
      <c r="C11" s="16" t="inlineStr">
        <is>
          <t>Рюкзак с грузом (5–12 кг)</t>
        </is>
      </c>
      <c r="D11" s="16" t="inlineStr">
        <is>
          <t>3×10–12</t>
        </is>
      </c>
      <c r="E11" s="16" t="inlineStr">
        <is>
          <t>1. Рюкзак держи перед бёдрами, колени слегка согнуты.
2. Таз отводи назад, спина прямая, рюкзак скользит вдоль ног.
3. Остановись, когда чувствуешь растяжение задней поверхности бедра.
4. Встань, сжимая ягодицы.</t>
        </is>
      </c>
      <c r="F11" s="16" t="inlineStr">
        <is>
          <t>• Круглая спина, нужно держать нейтральную поясницу.
• Приседают вместо наклона.</t>
        </is>
      </c>
      <c r="G11" s="16" t="inlineStr">
        <is>
          <t>Закрой дверь ягодицами позади себя.</t>
        </is>
      </c>
      <c r="H11" s="16" t="inlineStr">
        <is>
          <t>Без рюкзака.</t>
        </is>
      </c>
      <c r="I11" s="16" t="inlineStr">
        <is>
          <t>Больший вес или на одной ноге.</t>
        </is>
      </c>
      <c r="J11" s="16" t="inlineStr">
        <is>
          <t>Колени почти не работают, отличный вариант для твоей ситуации.</t>
        </is>
      </c>
    </row>
    <row r="12" ht="71" customHeight="1">
      <c r="A12" s="35" t="inlineStr">
        <is>
          <t>Ягодичный мостик</t>
        </is>
      </c>
      <c r="B12" s="16" t="inlineStr">
        <is>
          <t>Ноги</t>
        </is>
      </c>
      <c r="C12" s="16" t="inlineStr">
        <is>
          <t>Пол</t>
        </is>
      </c>
      <c r="D12" s="16" t="inlineStr">
        <is>
          <t>3×12–15</t>
        </is>
      </c>
      <c r="E12" s="16" t="inlineStr">
        <is>
          <t>1. Лягь на спину, стопы у ягодиц, колени согнуты.
2. Поднимай таз, сжимая ягодицы, до прямой линии плечи-колени.
3. В верхней точке пауза 1–2 секунды.</t>
        </is>
      </c>
      <c r="F12" s="16" t="inlineStr">
        <is>
          <t>• Прогиб в пояснице вместо работы ягодиц.
• Стопы слишком далеко.</t>
        </is>
      </c>
      <c r="G12" s="16" t="inlineStr">
        <is>
          <t>Толкай пятками пол.</t>
        </is>
      </c>
      <c r="H12" s="16" t="inlineStr">
        <is>
          <t>Меньше амплитуды.</t>
        </is>
      </c>
      <c r="I12" s="16" t="inlineStr">
        <is>
          <t>Одна нога, груз на таз.</t>
        </is>
      </c>
      <c r="J12" s="16" t="inlineStr">
        <is>
          <t>Безопасное упражнение для коленей.</t>
        </is>
      </c>
    </row>
    <row r="13" ht="71" customHeight="1">
      <c r="A13" s="35" t="inlineStr">
        <is>
          <t>Подъём на носки</t>
        </is>
      </c>
      <c r="B13" s="16" t="inlineStr">
        <is>
          <t>Ноги</t>
        </is>
      </c>
      <c r="C13" s="16" t="inlineStr">
        <is>
          <t>Ступенька</t>
        </is>
      </c>
      <c r="D13" s="16" t="inlineStr">
        <is>
          <t>3×15–20</t>
        </is>
      </c>
      <c r="E13" s="16" t="inlineStr">
        <is>
          <t>1. Встань носками на край ступеньки.
2. Поднимись максимально высоко, задержись на 1 секунду.
3. Опусти пятки ниже ступеньки до растяжения икр.</t>
        </is>
      </c>
      <c r="F13" s="16" t="inlineStr">
        <is>
          <t>• Работают с половиной амплитуды.
• Заваливают стопы внутрь.</t>
        </is>
      </c>
      <c r="G13" s="16" t="inlineStr">
        <is>
          <t>Вверх как балерина.</t>
        </is>
      </c>
      <c r="H13" s="16" t="inlineStr">
        <is>
          <t>На полу.</t>
        </is>
      </c>
      <c r="I13" s="16" t="inlineStr">
        <is>
          <t>На одной ноге.</t>
        </is>
      </c>
      <c r="J13" s="16" t="inlineStr">
        <is>
          <t>Укрепляет икры и ахиллы, нужны для бега.</t>
        </is>
      </c>
    </row>
    <row r="14" ht="71" customHeight="1">
      <c r="A14" s="35" t="inlineStr">
        <is>
          <t>Планка</t>
        </is>
      </c>
      <c r="B14" s="16" t="inlineStr">
        <is>
          <t>Кор</t>
        </is>
      </c>
      <c r="C14" s="16" t="inlineStr">
        <is>
          <t>Пол</t>
        </is>
      </c>
      <c r="D14" s="16" t="inlineStr">
        <is>
          <t>3×30–60 секунд</t>
        </is>
      </c>
      <c r="E14" s="16" t="inlineStr">
        <is>
          <t>1. Локти под плечами, предплечья параллельны.
2. Тело ровной линией от пяток до затылка.
3. Ягодицы и пресс напряжены, дыши ровно.</t>
        </is>
      </c>
      <c r="F14" s="16" t="inlineStr">
        <is>
          <t>• Таз провисает, поясница болит.
• Таз торчит вверх, пресс не работает.
• Задерживают дыхание.</t>
        </is>
      </c>
      <c r="G14" s="16" t="inlineStr">
        <is>
          <t>Подтяни пупок к позвоночнику, ягодицы сжаты.</t>
        </is>
      </c>
      <c r="H14" s="16" t="inlineStr">
        <is>
          <t>С коленей.</t>
        </is>
      </c>
      <c r="I14" s="16" t="inlineStr">
        <is>
          <t>Подъём ноги или рук.</t>
        </is>
      </c>
      <c r="J14" s="16" t="inlineStr">
        <is>
          <t>Если колени болят, подложи коврик или сверни куртку.</t>
        </is>
      </c>
    </row>
    <row r="15" ht="88" customHeight="1">
      <c r="A15" s="35" t="inlineStr">
        <is>
          <t>Подъём коленей/ног в висе</t>
        </is>
      </c>
      <c r="B15" s="16" t="inlineStr">
        <is>
          <t>Кор</t>
        </is>
      </c>
      <c r="C15" s="16" t="inlineStr">
        <is>
          <t>Турник</t>
        </is>
      </c>
      <c r="D15" s="16" t="inlineStr">
        <is>
          <t>3×6–12</t>
        </is>
      </c>
      <c r="E15" s="16" t="inlineStr">
        <is>
          <t>1. Вис на перекладине, лопатки слегка опущены.
2. Подтяни колени к груди, подкручивая таз.
3. Опусти без раскачки.
4. Когда будет легко, поднимай прямые ноги до горизонтали.</t>
        </is>
      </c>
      <c r="F15" s="16" t="inlineStr">
        <is>
          <t>• Раскачиваются и работают инерцией.
• Поднимают только бёдра, таз остаётся неподвижным.</t>
        </is>
      </c>
      <c r="G15" s="16" t="inlineStr">
        <is>
          <t>Подкручивай таз к рёбрам.</t>
        </is>
      </c>
      <c r="H15" s="16" t="inlineStr">
        <is>
          <t>Колени чуть ниже.</t>
        </is>
      </c>
      <c r="I15" s="16" t="inlineStr">
        <is>
          <t>Прямые ноги, затем носки к перекладине.</t>
        </is>
      </c>
      <c r="J15" s="16" t="inlineStr">
        <is>
          <t>Нагрузки на колени нет.</t>
        </is>
      </c>
    </row>
    <row r="16" ht="71" customHeight="1">
      <c r="A16" s="35" t="inlineStr">
        <is>
          <t>Скручивания</t>
        </is>
      </c>
      <c r="B16" s="16" t="inlineStr">
        <is>
          <t>Кор</t>
        </is>
      </c>
      <c r="C16" s="16" t="inlineStr">
        <is>
          <t>Пол</t>
        </is>
      </c>
      <c r="D16" s="16" t="inlineStr">
        <is>
          <t>3×15</t>
        </is>
      </c>
      <c r="E16" s="16" t="inlineStr">
        <is>
          <t>1. Лёжа на спине, колени согнуты, руки у висков (не тяни за шею).
2. На выдохе оторви лопатки от пола, подкручивая рёбра к тазу.
3. Медленно опусти.</t>
        </is>
      </c>
      <c r="F16" s="16" t="inlineStr">
        <is>
          <t>• Дёргают за шею.
• Поднимаются целиком, нужны только лопатки.</t>
        </is>
      </c>
      <c r="G16" s="16" t="inlineStr">
        <is>
          <t>Смотри в потолок, подбородок не прижимай.</t>
        </is>
      </c>
      <c r="H16" s="16" t="inlineStr">
        <is>
          <t>Руки вдоль тела.</t>
        </is>
      </c>
      <c r="I16" s="16" t="inlineStr">
        <is>
          <t>Руки за головой, пауза вверху.</t>
        </is>
      </c>
      <c r="J16" s="16" t="inlineStr">
        <is>
          <t>Безопасно.</t>
        </is>
      </c>
    </row>
    <row r="17" ht="71" customHeight="1">
      <c r="A17" s="35" t="inlineStr">
        <is>
          <t>Мёртвый жук</t>
        </is>
      </c>
      <c r="B17" s="16" t="inlineStr">
        <is>
          <t>Кор</t>
        </is>
      </c>
      <c r="C17" s="16" t="inlineStr">
        <is>
          <t>Пол</t>
        </is>
      </c>
      <c r="D17" s="16" t="inlineStr">
        <is>
          <t>3×8 на сторону</t>
        </is>
      </c>
      <c r="E17" s="16" t="inlineStr">
        <is>
          <t>1. Лёжа на спине, руки вверх, колени согнуты под 90°.
2. Опусти противоположные руку и ногу к полу, не отрывая поясницу.
3. Вернись и смени сторону.</t>
        </is>
      </c>
      <c r="F17" s="16" t="inlineStr">
        <is>
          <t>• Поясница отрывается от пола.
• Спешат.</t>
        </is>
      </c>
      <c r="G17" s="16" t="inlineStr">
        <is>
          <t>Поясница прижата, дыши выдохом при опускании.</t>
        </is>
      </c>
      <c r="H17" s="16" t="inlineStr">
        <is>
          <t>Только ноги.</t>
        </is>
      </c>
      <c r="I17" s="16" t="inlineStr">
        <is>
          <t>С грузом в руках.</t>
        </is>
      </c>
      <c r="J17" s="16" t="inlineStr">
        <is>
          <t>Безопасно.</t>
        </is>
      </c>
    </row>
    <row r="18" ht="88" customHeight="1">
      <c r="A18" s="35" t="inlineStr">
        <is>
          <t>Техника бега</t>
        </is>
      </c>
      <c r="B18" s="16" t="inlineStr">
        <is>
          <t>Бег и челнок</t>
        </is>
      </c>
      <c r="C18" s="16" t="inlineStr">
        <is>
          <t>Кроссовки</t>
        </is>
      </c>
      <c r="D18" s="16" t="inlineStr">
        <is>
          <t>В каждой беговой тренировке</t>
        </is>
      </c>
      <c r="E18" s="16" t="inlineStr">
        <is>
          <t>1. Корпус слегка наклонён вперёд всем телом, взгляд на 15–20 метров впереди.
2. Шаги короткие и частые: 170–180 шагов в минуту.
3. Стопа приземляется под центром тела, а не далеко впереди.
4. Локти согнуты 90°, плечи расслаблены, руки идут вперёд-назад.</t>
        </is>
      </c>
      <c r="F18" s="16" t="inlineStr">
        <is>
          <t>• Перешагивание: стопа далеко впереди, каждый шаг как торможение, нагрузка на колени.
• Запрокинутая голова и зажатые плечи.
• Слишком быстрый старт, финиш в изнеможении.</t>
        </is>
      </c>
      <c r="G18" s="16" t="inlineStr">
        <is>
          <t>Беги тихо, как будто по тонкому льду.</t>
        </is>
      </c>
      <c r="H18" s="16" t="inlineStr">
        <is>
          <t>Бег-ходьба 1:1.</t>
        </is>
      </c>
      <c r="I18" s="16" t="inlineStr">
        <is>
          <t>Ускорения 4×60 м.</t>
        </is>
      </c>
      <c r="J18" s="16" t="inlineStr">
        <is>
          <t>Мягкий грунт парка лучше асфальта. Увеличивай темп и объём не быстрее чем на 10% в неделю.</t>
        </is>
      </c>
    </row>
    <row r="19" ht="88" customHeight="1">
      <c r="A19" s="35" t="inlineStr">
        <is>
          <t>Челночный бег: разворот</t>
        </is>
      </c>
      <c r="B19" s="16" t="inlineStr">
        <is>
          <t>Бег и челнок</t>
        </is>
      </c>
      <c r="C19" s="16" t="inlineStr">
        <is>
          <t>Ровная площадка 10 м</t>
        </is>
      </c>
      <c r="D19" s="16" t="inlineStr">
        <is>
          <t>Техника на каждой беговой тренировке</t>
        </is>
      </c>
      <c r="E19" s="16" t="inlineStr">
        <is>
          <t>1. Разгоняйся до линии с наклоном корпуса, за 2 шага до линии гаси скорость, шаги короче.
2. Поставь ногу у линии (уточни у судьи, нужно ли касание рукой), центр тяжести низко.
3. Толкнись внешней ногой и сразу беги назад, не разворачивай корпус целиком.
4. Лучшие секунды теряются на развороте, а не на дистанции.</t>
        </is>
      </c>
      <c r="F19" s="16" t="inlineStr">
        <is>
          <t>• Тормозят слишком поздно, и разворот занимает вдвое дольше.
• Выпрямляются на развороте и теряют скорость.
• Колено закручивается внутрь при толчке, опасно для сустава.</t>
        </is>
      </c>
      <c r="G19" s="16" t="inlineStr">
        <is>
          <t>Низко, коротко, толчок наружной ногой.</t>
        </is>
      </c>
      <c r="H19" s="16" t="inlineStr">
        <is>
          <t>Развороты на 70% скорости.</t>
        </is>
      </c>
      <c r="I19" s="16" t="inlineStr">
        <is>
          <t>Развороты на 100% и добавление дистанции.</t>
        </is>
      </c>
      <c r="J19" s="16" t="inlineStr">
        <is>
          <t>Развороты — самое жёсткое движение для коленей. Первые 3 недели делай на 70–80% скорости.</t>
        </is>
      </c>
    </row>
    <row r="20" ht="105" customHeight="1">
      <c r="A20" s="35" t="inlineStr">
        <is>
          <t>Разминка и заминка</t>
        </is>
      </c>
      <c r="B20" s="16" t="inlineStr">
        <is>
          <t>Разминка</t>
        </is>
      </c>
      <c r="C20" s="16" t="inlineStr">
        <is>
          <t>—</t>
        </is>
      </c>
      <c r="D20" s="16" t="inlineStr">
        <is>
          <t>8–10 минут до, 5–8 после</t>
        </is>
      </c>
      <c r="E20" s="16" t="inlineStr">
        <is>
          <t>1. Ходьба и лёгкий бег 4–5 минут.
2. Круги: плечи, таз, колени, голеностоп по 10.
3. Выпады с поворотом, махи ногами по 8–10.
4. Ускорения 3×40 метров без напряжения.
5. После тренировки: ходьба 3–5 минут, растяжка икр, бёдер, ягодиц и груди по 30 секунд.</t>
        </is>
      </c>
      <c r="F20" s="16" t="inlineStr">
        <is>
          <t>• Пропуск разминки перед интервалами.
• Растяжка с болью.</t>
        </is>
      </c>
      <c r="G20" s="16" t="inlineStr">
        <is>
          <t>После разминки должно быть тепло и слегка влажно.</t>
        </is>
      </c>
      <c r="H20" s="16" t="inlineStr">
        <is>
          <t>—</t>
        </is>
      </c>
      <c r="I20" s="16" t="inlineStr">
        <is>
          <t>—</t>
        </is>
      </c>
      <c r="J20" s="16" t="inlineStr">
        <is>
          <t>Динамическая разминка снижает риск травм колена.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86674"/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20" customWidth="1" min="2" max="2"/>
  </cols>
  <sheetData>
    <row r="1">
      <c r="A1" s="1" t="inlineStr">
        <is>
          <t>Что было не так и что изменено</t>
        </is>
      </c>
    </row>
    <row r="3">
      <c r="A3" s="15" t="inlineStr">
        <is>
          <t>Проблема в исходной таблице</t>
        </is>
      </c>
      <c r="B3" s="15" t="inlineStr">
        <is>
          <t>Что сделано</t>
        </is>
      </c>
    </row>
    <row r="4" ht="48" customHeight="1">
      <c r="A4" s="35" t="inlineStr">
        <is>
          <t>Контроль на 19–20 день</t>
        </is>
      </c>
      <c r="B4" s="16" t="inlineStr">
        <is>
          <t>За три недели с 3 до 15 подтягиваний не дойти, это нереалистично и ведёт к травме. Контроли оставил каждые 4 недели, цели разбиты на реалистичные ступени.</t>
        </is>
      </c>
    </row>
    <row r="5" ht="48" customHeight="1">
      <c r="A5" s="35" t="inlineStr">
        <is>
          <t>Мало объёма подтягиваний</t>
        </is>
      </c>
      <c r="B5" s="16" t="inlineStr">
        <is>
          <t>5 подходов по 2 раза это около 10 повторений в тренировке, а в программе нет силовой работы спины. Добавил негативы, австралийские подтягивания, лестницы и ежедневные мини-подходы.</t>
        </is>
      </c>
    </row>
    <row r="6" ht="48" customHeight="1">
      <c r="A6" s="35" t="inlineStr">
        <is>
          <t>2 тренировки в неделю после 20 дня</t>
        </is>
      </c>
      <c r="B6" s="16" t="inlineStr">
        <is>
          <t>Для трёх нормативов, снижения веса и мышц этого мало. На ближайшие 2 недели оставил плотный старт, а потом две сессии А и Б, где в каждой есть бег или челнок, подтягивания и кор. Плюс ежедневная пятиминутка.</t>
        </is>
      </c>
    </row>
    <row r="7" ht="48" customHeight="1">
      <c r="A7" s="35" t="inlineStr">
        <is>
          <t>Нет темпов и пауз</t>
        </is>
      </c>
      <c r="B7" s="16" t="inlineStr">
        <is>
          <t>«6×200 м» не говорит, с какой скоростью бежать и сколько отдыхать. Теперь у каждого отрезка есть целевое время, пауза и подстройка под твой последний тест.</t>
        </is>
      </c>
    </row>
    <row r="8" ht="48" customHeight="1">
      <c r="A8" s="35" t="inlineStr">
        <is>
          <t>Ноги без упражнений</t>
        </is>
      </c>
      <c r="B8" s="16" t="inlineStr">
        <is>
          <t>Запись «ноги» ничего не объясняла. Колени у тебя хрустят, поэтому глубокие приседания и прыжки убрал, поставил присед до скамьи, подъёмы на скамью, румынскую тягу и мостик.</t>
        </is>
      </c>
    </row>
    <row r="9" ht="48" customHeight="1">
      <c r="A9" s="35" t="inlineStr">
        <is>
          <t>Нет разминки, заминки и отдыха</t>
        </is>
      </c>
      <c r="B9" s="16" t="inlineStr">
        <is>
          <t>В таблице нет разминки перед интервалами и разгрузочных недель. Теперь они есть в каждой тренировке, а каждая четвёртая неделя лёгкая.</t>
        </is>
      </c>
    </row>
    <row r="10" ht="48" customHeight="1">
      <c r="A10" s="35" t="inlineStr">
        <is>
          <t>Питание без граммов и калорий</t>
        </is>
      </c>
      <c r="B10" s="16" t="inlineStr">
        <is>
          <t>Меню было набором блюд без порций. Теперь есть расчёт калорий и белка под твои данные, граммы на тебя и на жену, рецепты и список покупок.</t>
        </is>
      </c>
    </row>
    <row r="11" ht="48" customHeight="1">
      <c r="A11" s="35" t="inlineStr">
        <is>
          <t>Много углеводов, мало овощей и белка в завтраках</t>
        </is>
      </c>
      <c r="B11" s="16" t="inlineStr">
        <is>
          <t>Овсянка, картофель, макароны, рис шли почти каждый приём. Добавил творог, кефир, яйца и овощной салат на каждый обед и ужин, чтобы белка хватало на мышцы.</t>
        </is>
      </c>
    </row>
    <row r="12" ht="48" customHeight="1">
      <c r="A12" s="35" t="inlineStr">
        <is>
          <t>Нет фокуса на похудение и кубики</t>
        </is>
      </c>
      <c r="B12" s="16" t="inlineStr">
        <is>
          <t>Живот убирается питанием и шагами, а не пресс-упражнениями. Задан дефицит около 20%, контроль веса и талии, и честный прогноз по срокам.</t>
        </is>
      </c>
    </row>
    <row r="13" ht="48" customHeight="1">
      <c r="A13" s="35" t="inlineStr">
        <is>
          <t>Нет учёта</t>
        </is>
      </c>
      <c r="B13" s="16" t="inlineStr">
        <is>
          <t>В таблице контроля не было графиков, талии и шагов. В дневнике теперь графики с плановой траекторией и рамки целей.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86674"/>
    <outlinePr summaryBelow="1" summaryRight="1"/>
    <pageSetUpPr/>
  </sheetPr>
  <dimension ref="A1:G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2" customWidth="1" min="5" max="5"/>
    <col width="14" customWidth="1" min="6" max="6"/>
    <col width="10" customWidth="1" min="7" max="7"/>
  </cols>
  <sheetData>
    <row r="1">
      <c r="A1" s="1" t="inlineStr">
        <is>
          <t>Продукты: калории и цены</t>
        </is>
      </c>
    </row>
    <row r="2">
      <c r="A2" s="2" t="inlineStr">
        <is>
          <t>На 100 г сырого продукта. Цены в рублях за кг, ориентир, поправь на свои.</t>
        </is>
      </c>
    </row>
    <row r="3">
      <c r="A3" s="15" t="inlineStr">
        <is>
          <t>Продукт</t>
        </is>
      </c>
      <c r="B3" s="15" t="inlineStr">
        <is>
          <t>Ккал</t>
        </is>
      </c>
      <c r="C3" s="15" t="inlineStr">
        <is>
          <t>Белок</t>
        </is>
      </c>
      <c r="D3" s="15" t="inlineStr">
        <is>
          <t>Жиры</t>
        </is>
      </c>
      <c r="E3" s="15" t="inlineStr">
        <is>
          <t>Углеводы</t>
        </is>
      </c>
      <c r="F3" s="15" t="inlineStr">
        <is>
          <t>Цена, ₽/кг</t>
        </is>
      </c>
      <c r="G3" s="15" t="inlineStr">
        <is>
          <t>1 шт, г</t>
        </is>
      </c>
    </row>
    <row r="4">
      <c r="A4" s="22" t="inlineStr">
        <is>
          <t>Овсяные хлопья (сухие)</t>
        </is>
      </c>
      <c r="B4" s="22" t="n">
        <v>366</v>
      </c>
      <c r="C4" s="22" t="n">
        <v>12</v>
      </c>
      <c r="D4" s="22" t="n">
        <v>6.5</v>
      </c>
      <c r="E4" s="22" t="n">
        <v>60</v>
      </c>
      <c r="F4" s="6" t="n">
        <v>90</v>
      </c>
      <c r="G4" s="22" t="n"/>
    </row>
    <row r="5">
      <c r="A5" s="22" t="inlineStr">
        <is>
          <t>Гречка (сухая)</t>
        </is>
      </c>
      <c r="B5" s="22" t="n">
        <v>340</v>
      </c>
      <c r="C5" s="22" t="n">
        <v>12.6</v>
      </c>
      <c r="D5" s="22" t="n">
        <v>3.3</v>
      </c>
      <c r="E5" s="22" t="n">
        <v>62</v>
      </c>
      <c r="F5" s="6" t="n">
        <v>120</v>
      </c>
      <c r="G5" s="22" t="n"/>
    </row>
    <row r="6">
      <c r="A6" s="22" t="inlineStr">
        <is>
          <t>Пшено (сухое)</t>
        </is>
      </c>
      <c r="B6" s="22" t="n">
        <v>342</v>
      </c>
      <c r="C6" s="22" t="n">
        <v>11.5</v>
      </c>
      <c r="D6" s="22" t="n">
        <v>3.3</v>
      </c>
      <c r="E6" s="22" t="n">
        <v>66</v>
      </c>
      <c r="F6" s="6" t="n">
        <v>70</v>
      </c>
      <c r="G6" s="22" t="n"/>
    </row>
    <row r="7">
      <c r="A7" s="22" t="inlineStr">
        <is>
          <t>Рис (сухой)</t>
        </is>
      </c>
      <c r="B7" s="22" t="n">
        <v>345</v>
      </c>
      <c r="C7" s="22" t="n">
        <v>7</v>
      </c>
      <c r="D7" s="22" t="n">
        <v>0.7</v>
      </c>
      <c r="E7" s="22" t="n">
        <v>77</v>
      </c>
      <c r="F7" s="6" t="n">
        <v>100</v>
      </c>
      <c r="G7" s="22" t="n"/>
    </row>
    <row r="8">
      <c r="A8" s="22" t="inlineStr">
        <is>
          <t>Перловка (сухая)</t>
        </is>
      </c>
      <c r="B8" s="22" t="n">
        <v>320</v>
      </c>
      <c r="C8" s="22" t="n">
        <v>9.300000000000001</v>
      </c>
      <c r="D8" s="22" t="n">
        <v>1.1</v>
      </c>
      <c r="E8" s="22" t="n">
        <v>73</v>
      </c>
      <c r="F8" s="6" t="n">
        <v>70</v>
      </c>
      <c r="G8" s="22" t="n"/>
    </row>
    <row r="9">
      <c r="A9" s="22" t="inlineStr">
        <is>
          <t>Макароны (сухие)</t>
        </is>
      </c>
      <c r="B9" s="22" t="n">
        <v>350</v>
      </c>
      <c r="C9" s="22" t="n">
        <v>12</v>
      </c>
      <c r="D9" s="22" t="n">
        <v>1.5</v>
      </c>
      <c r="E9" s="22" t="n">
        <v>71</v>
      </c>
      <c r="F9" s="6" t="n">
        <v>90</v>
      </c>
      <c r="G9" s="22" t="n"/>
    </row>
    <row r="10">
      <c r="A10" s="22" t="inlineStr">
        <is>
          <t>Картофель</t>
        </is>
      </c>
      <c r="B10" s="22" t="n">
        <v>77</v>
      </c>
      <c r="C10" s="22" t="n">
        <v>2</v>
      </c>
      <c r="D10" s="22" t="n">
        <v>0.4</v>
      </c>
      <c r="E10" s="22" t="n">
        <v>16</v>
      </c>
      <c r="F10" s="6" t="n">
        <v>45</v>
      </c>
      <c r="G10" s="22" t="n"/>
    </row>
    <row r="11">
      <c r="A11" s="22" t="inlineStr">
        <is>
          <t>Яйцо</t>
        </is>
      </c>
      <c r="B11" s="22" t="n">
        <v>157</v>
      </c>
      <c r="C11" s="22" t="n">
        <v>12.7</v>
      </c>
      <c r="D11" s="22" t="n">
        <v>11.5</v>
      </c>
      <c r="E11" s="22" t="n">
        <v>0.7</v>
      </c>
      <c r="F11" s="6" t="n">
        <v>220</v>
      </c>
      <c r="G11" s="22" t="n">
        <v>55</v>
      </c>
    </row>
    <row r="12">
      <c r="A12" s="22" t="inlineStr">
        <is>
          <t>Куриная грудка</t>
        </is>
      </c>
      <c r="B12" s="22" t="n">
        <v>115</v>
      </c>
      <c r="C12" s="22" t="n">
        <v>23</v>
      </c>
      <c r="D12" s="22" t="n">
        <v>1.9</v>
      </c>
      <c r="E12" s="22" t="n">
        <v>0</v>
      </c>
      <c r="F12" s="6" t="n">
        <v>380</v>
      </c>
      <c r="G12" s="22" t="n"/>
    </row>
    <row r="13">
      <c r="A13" s="22" t="inlineStr">
        <is>
          <t>Куриные бёдра/голень без кожи</t>
        </is>
      </c>
      <c r="B13" s="22" t="n">
        <v>135</v>
      </c>
      <c r="C13" s="22" t="n">
        <v>19</v>
      </c>
      <c r="D13" s="22" t="n">
        <v>6.5</v>
      </c>
      <c r="E13" s="22" t="n">
        <v>0</v>
      </c>
      <c r="F13" s="6" t="n">
        <v>260</v>
      </c>
      <c r="G13" s="22" t="n"/>
    </row>
    <row r="14">
      <c r="A14" s="22" t="inlineStr">
        <is>
          <t>Куриный фарш</t>
        </is>
      </c>
      <c r="B14" s="22" t="n">
        <v>143</v>
      </c>
      <c r="C14" s="22" t="n">
        <v>17.5</v>
      </c>
      <c r="D14" s="22" t="n">
        <v>8</v>
      </c>
      <c r="E14" s="22" t="n">
        <v>0.4</v>
      </c>
      <c r="F14" s="6" t="n">
        <v>300</v>
      </c>
      <c r="G14" s="22" t="n"/>
    </row>
    <row r="15">
      <c r="A15" s="22" t="inlineStr">
        <is>
          <t>Белая рыба (минтай, хек)</t>
        </is>
      </c>
      <c r="B15" s="22" t="n">
        <v>80</v>
      </c>
      <c r="C15" s="22" t="n">
        <v>17</v>
      </c>
      <c r="D15" s="22" t="n">
        <v>1</v>
      </c>
      <c r="E15" s="22" t="n">
        <v>0</v>
      </c>
      <c r="F15" s="6" t="n">
        <v>330</v>
      </c>
      <c r="G15" s="22" t="n"/>
    </row>
    <row r="16">
      <c r="A16" s="22" t="inlineStr">
        <is>
          <t>Красная рыба (горбуша, форель)</t>
        </is>
      </c>
      <c r="B16" s="22" t="n">
        <v>150</v>
      </c>
      <c r="C16" s="22" t="n">
        <v>20</v>
      </c>
      <c r="D16" s="22" t="n">
        <v>8</v>
      </c>
      <c r="E16" s="22" t="n">
        <v>0</v>
      </c>
      <c r="F16" s="6" t="n">
        <v>700</v>
      </c>
      <c r="G16" s="22" t="n"/>
    </row>
    <row r="17">
      <c r="A17" s="22" t="inlineStr">
        <is>
          <t>Творог 5%</t>
        </is>
      </c>
      <c r="B17" s="22" t="n">
        <v>121</v>
      </c>
      <c r="C17" s="22" t="n">
        <v>17</v>
      </c>
      <c r="D17" s="22" t="n">
        <v>5</v>
      </c>
      <c r="E17" s="22" t="n">
        <v>3</v>
      </c>
      <c r="F17" s="6" t="n">
        <v>420</v>
      </c>
      <c r="G17" s="22" t="n"/>
    </row>
    <row r="18">
      <c r="A18" s="22" t="inlineStr">
        <is>
          <t>Кефир 1%</t>
        </is>
      </c>
      <c r="B18" s="22" t="n">
        <v>40</v>
      </c>
      <c r="C18" s="22" t="n">
        <v>3</v>
      </c>
      <c r="D18" s="22" t="n">
        <v>1</v>
      </c>
      <c r="E18" s="22" t="n">
        <v>4</v>
      </c>
      <c r="F18" s="6" t="n">
        <v>90</v>
      </c>
      <c r="G18" s="22" t="n"/>
    </row>
    <row r="19">
      <c r="A19" s="22" t="inlineStr">
        <is>
          <t>Йогурт натуральный</t>
        </is>
      </c>
      <c r="B19" s="22" t="n">
        <v>60</v>
      </c>
      <c r="C19" s="22" t="n">
        <v>4</v>
      </c>
      <c r="D19" s="22" t="n">
        <v>3.2</v>
      </c>
      <c r="E19" s="22" t="n">
        <v>4.5</v>
      </c>
      <c r="F19" s="6" t="n">
        <v>150</v>
      </c>
      <c r="G19" s="22" t="n"/>
    </row>
    <row r="20">
      <c r="A20" s="22" t="inlineStr">
        <is>
          <t>Молоко 2.5%</t>
        </is>
      </c>
      <c r="B20" s="22" t="n">
        <v>52</v>
      </c>
      <c r="C20" s="22" t="n">
        <v>3</v>
      </c>
      <c r="D20" s="22" t="n">
        <v>2.5</v>
      </c>
      <c r="E20" s="22" t="n">
        <v>4.7</v>
      </c>
      <c r="F20" s="6" t="n">
        <v>80</v>
      </c>
      <c r="G20" s="22" t="n"/>
    </row>
    <row r="21">
      <c r="A21" s="22" t="inlineStr">
        <is>
          <t>Сыр твёрдый</t>
        </is>
      </c>
      <c r="B21" s="22" t="n">
        <v>350</v>
      </c>
      <c r="C21" s="22" t="n">
        <v>25</v>
      </c>
      <c r="D21" s="22" t="n">
        <v>27</v>
      </c>
      <c r="E21" s="22" t="n">
        <v>0</v>
      </c>
      <c r="F21" s="6" t="n">
        <v>700</v>
      </c>
      <c r="G21" s="22" t="n"/>
    </row>
    <row r="22">
      <c r="A22" s="22" t="inlineStr">
        <is>
          <t>Чечевица (сухая)</t>
        </is>
      </c>
      <c r="B22" s="22" t="n">
        <v>295</v>
      </c>
      <c r="C22" s="22" t="n">
        <v>24</v>
      </c>
      <c r="D22" s="22" t="n">
        <v>1.5</v>
      </c>
      <c r="E22" s="22" t="n">
        <v>46</v>
      </c>
      <c r="F22" s="6" t="n">
        <v>160</v>
      </c>
      <c r="G22" s="22" t="n"/>
    </row>
    <row r="23">
      <c r="A23" s="22" t="inlineStr">
        <is>
          <t>Салат айсберг</t>
        </is>
      </c>
      <c r="B23" s="22" t="n">
        <v>14</v>
      </c>
      <c r="C23" s="22" t="n">
        <v>0.9</v>
      </c>
      <c r="D23" s="22" t="n">
        <v>0.1</v>
      </c>
      <c r="E23" s="22" t="n">
        <v>3</v>
      </c>
      <c r="F23" s="6" t="n">
        <v>330</v>
      </c>
      <c r="G23" s="22" t="n"/>
    </row>
    <row r="24">
      <c r="A24" s="22" t="inlineStr">
        <is>
          <t>Капуста белокочанная</t>
        </is>
      </c>
      <c r="B24" s="22" t="n">
        <v>28</v>
      </c>
      <c r="C24" s="22" t="n">
        <v>1.8</v>
      </c>
      <c r="D24" s="22" t="n">
        <v>0.1</v>
      </c>
      <c r="E24" s="22" t="n">
        <v>4.7</v>
      </c>
      <c r="F24" s="6" t="n">
        <v>40</v>
      </c>
      <c r="G24" s="22" t="n"/>
    </row>
    <row r="25">
      <c r="A25" s="22" t="inlineStr">
        <is>
          <t>Морковь</t>
        </is>
      </c>
      <c r="B25" s="22" t="n">
        <v>35</v>
      </c>
      <c r="C25" s="22" t="n">
        <v>1.3</v>
      </c>
      <c r="D25" s="22" t="n">
        <v>0.1</v>
      </c>
      <c r="E25" s="22" t="n">
        <v>7</v>
      </c>
      <c r="F25" s="6" t="n">
        <v>45</v>
      </c>
      <c r="G25" s="22" t="n"/>
    </row>
    <row r="26">
      <c r="A26" s="22" t="inlineStr">
        <is>
          <t>Лук репчатый</t>
        </is>
      </c>
      <c r="B26" s="22" t="n">
        <v>41</v>
      </c>
      <c r="C26" s="22" t="n">
        <v>1.4</v>
      </c>
      <c r="D26" s="22" t="n">
        <v>0</v>
      </c>
      <c r="E26" s="22" t="n">
        <v>9</v>
      </c>
      <c r="F26" s="6" t="n">
        <v>45</v>
      </c>
      <c r="G26" s="22" t="n"/>
    </row>
    <row r="27">
      <c r="A27" s="22" t="inlineStr">
        <is>
          <t>Помидоры</t>
        </is>
      </c>
      <c r="B27" s="22" t="n">
        <v>20</v>
      </c>
      <c r="C27" s="22" t="n">
        <v>1</v>
      </c>
      <c r="D27" s="22" t="n">
        <v>0.2</v>
      </c>
      <c r="E27" s="22" t="n">
        <v>3.7</v>
      </c>
      <c r="F27" s="6" t="n">
        <v>200</v>
      </c>
      <c r="G27" s="22" t="n"/>
    </row>
    <row r="28">
      <c r="A28" s="22" t="inlineStr">
        <is>
          <t>Огурцы</t>
        </is>
      </c>
      <c r="B28" s="22" t="n">
        <v>15</v>
      </c>
      <c r="C28" s="22" t="n">
        <v>0.8</v>
      </c>
      <c r="D28" s="22" t="n">
        <v>0.1</v>
      </c>
      <c r="E28" s="22" t="n">
        <v>2.5</v>
      </c>
      <c r="F28" s="6" t="n">
        <v>150</v>
      </c>
      <c r="G28" s="22" t="n"/>
    </row>
    <row r="29">
      <c r="A29" s="22" t="inlineStr">
        <is>
          <t>Бананы (очищенные)</t>
        </is>
      </c>
      <c r="B29" s="22" t="n">
        <v>90</v>
      </c>
      <c r="C29" s="22" t="n">
        <v>1.5</v>
      </c>
      <c r="D29" s="22" t="n">
        <v>0.2</v>
      </c>
      <c r="E29" s="22" t="n">
        <v>21</v>
      </c>
      <c r="F29" s="6" t="n">
        <v>120</v>
      </c>
      <c r="G29" s="22" t="n">
        <v>110</v>
      </c>
    </row>
    <row r="30">
      <c r="A30" s="22" t="inlineStr">
        <is>
          <t>Яблоки</t>
        </is>
      </c>
      <c r="B30" s="22" t="n">
        <v>47</v>
      </c>
      <c r="C30" s="22" t="n">
        <v>0.4</v>
      </c>
      <c r="D30" s="22" t="n">
        <v>0.4</v>
      </c>
      <c r="E30" s="22" t="n">
        <v>10</v>
      </c>
      <c r="F30" s="6" t="n">
        <v>120</v>
      </c>
      <c r="G30" s="22" t="n">
        <v>150</v>
      </c>
    </row>
    <row r="31">
      <c r="A31" s="22" t="inlineStr">
        <is>
          <t>Хлеб цельнозерновой/ржаной</t>
        </is>
      </c>
      <c r="B31" s="22" t="n">
        <v>215</v>
      </c>
      <c r="C31" s="22" t="n">
        <v>7</v>
      </c>
      <c r="D31" s="22" t="n">
        <v>1.5</v>
      </c>
      <c r="E31" s="22" t="n">
        <v>42</v>
      </c>
      <c r="F31" s="6" t="n">
        <v>90</v>
      </c>
      <c r="G31" s="22" t="n"/>
    </row>
    <row r="32">
      <c r="A32" s="22" t="inlineStr">
        <is>
          <t>Масло растительное</t>
        </is>
      </c>
      <c r="B32" s="22" t="n">
        <v>900</v>
      </c>
      <c r="C32" s="22" t="n">
        <v>0</v>
      </c>
      <c r="D32" s="22" t="n">
        <v>100</v>
      </c>
      <c r="E32" s="22" t="n">
        <v>0</v>
      </c>
      <c r="F32" s="6" t="n">
        <v>170</v>
      </c>
      <c r="G32" s="22" t="n"/>
    </row>
    <row r="33">
      <c r="A33" s="22" t="inlineStr">
        <is>
          <t>Грецкие орехи</t>
        </is>
      </c>
      <c r="B33" s="22" t="n">
        <v>650</v>
      </c>
      <c r="C33" s="22" t="n">
        <v>15</v>
      </c>
      <c r="D33" s="22" t="n">
        <v>65</v>
      </c>
      <c r="E33" s="22" t="n">
        <v>7</v>
      </c>
      <c r="F33" s="6" t="n">
        <v>1200</v>
      </c>
      <c r="G33" s="22" t="n"/>
    </row>
    <row r="34">
      <c r="A34" s="22" t="inlineStr">
        <is>
          <t>Томатная паста</t>
        </is>
      </c>
      <c r="B34" s="22" t="n">
        <v>80</v>
      </c>
      <c r="C34" s="22" t="n">
        <v>4</v>
      </c>
      <c r="D34" s="22" t="n">
        <v>0.5</v>
      </c>
      <c r="E34" s="22" t="n">
        <v>15</v>
      </c>
      <c r="F34" s="6" t="n">
        <v>400</v>
      </c>
      <c r="G34" s="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2026-10-07T08:58:59Z</dcterms:created>
  <dcterms:modified xmlns:dcterms="http://purl.org/dc/terms/" xmlns:xsi="http://www.w3.org/2001/XMLSchema-instance" xsi:type="dcterms:W3CDTF">2026-10-07T08:59:00Z</dcterms:modified>
</cp:coreProperties>
</file>